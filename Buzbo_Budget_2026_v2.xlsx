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noukhorrevorts/Downloads/"/>
    </mc:Choice>
  </mc:AlternateContent>
  <xr:revisionPtr revIDLastSave="0" documentId="13_ncr:1_{3ECD2789-1F78-F94B-8BD0-C1376A987048}" xr6:coauthVersionLast="47" xr6:coauthVersionMax="47" xr10:uidLastSave="{00000000-0000-0000-0000-000000000000}"/>
  <bookViews>
    <workbookView xWindow="0" yWindow="660" windowWidth="29400" windowHeight="17260" tabRatio="500" activeTab="3" xr2:uid="{00000000-000D-0000-FFFF-FFFF00000000}"/>
  </bookViews>
  <sheets>
    <sheet name="Assumptions" sheetId="1" r:id="rId1"/>
    <sheet name="Monthly P&amp;L" sheetId="2" r:id="rId2"/>
    <sheet name="Bridge Summary" sheetId="3" r:id="rId3"/>
    <sheet name="Headcount &amp; Rol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1" i="2" l="1"/>
  <c r="G41" i="2"/>
  <c r="G44" i="2" s="1"/>
  <c r="F41" i="2"/>
  <c r="E41" i="2"/>
  <c r="E44" i="2" s="1"/>
  <c r="D41" i="2"/>
  <c r="D44" i="2" s="1"/>
  <c r="C41" i="2"/>
  <c r="C44" i="2" s="1"/>
  <c r="B41" i="2"/>
  <c r="H43" i="2"/>
  <c r="G43" i="2"/>
  <c r="F43" i="2"/>
  <c r="E43" i="2"/>
  <c r="D43" i="2"/>
  <c r="C43" i="2"/>
  <c r="B43" i="2"/>
  <c r="H42" i="2"/>
  <c r="G42" i="2"/>
  <c r="F42" i="2"/>
  <c r="E42" i="2"/>
  <c r="D42" i="2"/>
  <c r="C42" i="2"/>
  <c r="B42" i="2"/>
  <c r="I42" i="2" s="1"/>
  <c r="B40" i="2"/>
  <c r="H36" i="2"/>
  <c r="G36" i="2"/>
  <c r="F36" i="2"/>
  <c r="E36" i="2"/>
  <c r="D36" i="2"/>
  <c r="C36" i="2"/>
  <c r="B36" i="2"/>
  <c r="H34" i="2"/>
  <c r="G34" i="2"/>
  <c r="F34" i="2"/>
  <c r="E34" i="2"/>
  <c r="D34" i="2"/>
  <c r="C34" i="2"/>
  <c r="B34" i="2"/>
  <c r="C32" i="2"/>
  <c r="D32" i="2"/>
  <c r="E32" i="2"/>
  <c r="F32" i="2"/>
  <c r="G32" i="2"/>
  <c r="H32" i="2"/>
  <c r="I32" i="2" s="1"/>
  <c r="B32" i="2"/>
  <c r="C33" i="2"/>
  <c r="D33" i="2"/>
  <c r="E33" i="2"/>
  <c r="F33" i="2"/>
  <c r="G33" i="2"/>
  <c r="H33" i="2"/>
  <c r="B33" i="2"/>
  <c r="H26" i="2"/>
  <c r="G26" i="2"/>
  <c r="H27" i="2"/>
  <c r="G27" i="2"/>
  <c r="F27" i="2"/>
  <c r="E27" i="2"/>
  <c r="D27" i="2"/>
  <c r="D29" i="2" s="1"/>
  <c r="C27" i="2"/>
  <c r="C29" i="2"/>
  <c r="B27" i="2"/>
  <c r="B26" i="2"/>
  <c r="F26" i="2"/>
  <c r="E26" i="2"/>
  <c r="G29" i="2"/>
  <c r="E29" i="2"/>
  <c r="D26" i="2"/>
  <c r="C26" i="2"/>
  <c r="H21" i="2"/>
  <c r="G21" i="2"/>
  <c r="F21" i="2"/>
  <c r="E21" i="2"/>
  <c r="D21" i="2"/>
  <c r="C21" i="2"/>
  <c r="H20" i="2"/>
  <c r="G20" i="2"/>
  <c r="F20" i="2"/>
  <c r="E20" i="2"/>
  <c r="D20" i="2"/>
  <c r="C20" i="2"/>
  <c r="C12" i="2"/>
  <c r="F44" i="2"/>
  <c r="I40" i="2"/>
  <c r="I36" i="2"/>
  <c r="I35" i="2"/>
  <c r="H35" i="2"/>
  <c r="G35" i="2"/>
  <c r="F35" i="2"/>
  <c r="E35" i="2"/>
  <c r="D35" i="2"/>
  <c r="C35" i="2"/>
  <c r="B35" i="2"/>
  <c r="I34" i="2"/>
  <c r="I33" i="2"/>
  <c r="G37" i="2"/>
  <c r="F37" i="2"/>
  <c r="E37" i="2"/>
  <c r="D37" i="2"/>
  <c r="C37" i="2"/>
  <c r="B37" i="2"/>
  <c r="I28" i="2"/>
  <c r="H28" i="2"/>
  <c r="G28" i="2"/>
  <c r="F28" i="2"/>
  <c r="E28" i="2"/>
  <c r="D28" i="2"/>
  <c r="C28" i="2"/>
  <c r="B28" i="2"/>
  <c r="H29" i="2"/>
  <c r="B29" i="2"/>
  <c r="I22" i="2"/>
  <c r="H19" i="2"/>
  <c r="G19" i="2"/>
  <c r="F19" i="2"/>
  <c r="E19" i="2"/>
  <c r="D19" i="2"/>
  <c r="C19" i="2"/>
  <c r="B19" i="2"/>
  <c r="I19" i="2" s="1"/>
  <c r="H18" i="2"/>
  <c r="G18" i="2"/>
  <c r="F18" i="2"/>
  <c r="E18" i="2"/>
  <c r="D18" i="2"/>
  <c r="C18" i="2"/>
  <c r="I17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I15" i="2" s="1"/>
  <c r="H14" i="2"/>
  <c r="G14" i="2"/>
  <c r="F14" i="2"/>
  <c r="E14" i="2"/>
  <c r="D14" i="2"/>
  <c r="C14" i="2"/>
  <c r="H13" i="2"/>
  <c r="G13" i="2"/>
  <c r="F13" i="2"/>
  <c r="E13" i="2"/>
  <c r="E23" i="2" s="1"/>
  <c r="D13" i="2"/>
  <c r="C13" i="2"/>
  <c r="H12" i="2"/>
  <c r="G12" i="2"/>
  <c r="F12" i="2"/>
  <c r="E12" i="2"/>
  <c r="D12" i="2"/>
  <c r="C23" i="2"/>
  <c r="H8" i="2"/>
  <c r="H9" i="2" s="1"/>
  <c r="G8" i="2"/>
  <c r="F8" i="2"/>
  <c r="E8" i="2"/>
  <c r="D8" i="2"/>
  <c r="I8" i="2" s="1"/>
  <c r="I7" i="2"/>
  <c r="G9" i="2"/>
  <c r="F9" i="2"/>
  <c r="E9" i="2"/>
  <c r="C9" i="2"/>
  <c r="B9" i="2"/>
  <c r="I41" i="2" l="1"/>
  <c r="H44" i="2"/>
  <c r="I43" i="2"/>
  <c r="H37" i="2"/>
  <c r="I27" i="2"/>
  <c r="I26" i="2"/>
  <c r="F29" i="2"/>
  <c r="E47" i="2"/>
  <c r="E48" i="2" s="1"/>
  <c r="E49" i="2" s="1"/>
  <c r="E51" i="2" s="1"/>
  <c r="C47" i="2"/>
  <c r="C48" i="2" s="1"/>
  <c r="C49" i="2" s="1"/>
  <c r="C51" i="2" s="1"/>
  <c r="I20" i="2"/>
  <c r="I21" i="2"/>
  <c r="I16" i="2"/>
  <c r="I18" i="2"/>
  <c r="F23" i="2"/>
  <c r="F47" i="2" s="1"/>
  <c r="F48" i="2" s="1"/>
  <c r="F49" i="2" s="1"/>
  <c r="F51" i="2" s="1"/>
  <c r="I14" i="2"/>
  <c r="G23" i="2"/>
  <c r="G47" i="2" s="1"/>
  <c r="H23" i="2"/>
  <c r="H47" i="2" s="1"/>
  <c r="I12" i="2"/>
  <c r="I29" i="2"/>
  <c r="I37" i="2"/>
  <c r="D9" i="2"/>
  <c r="I9" i="2" s="1"/>
  <c r="B4" i="3" s="1"/>
  <c r="B23" i="2"/>
  <c r="D23" i="2"/>
  <c r="D47" i="2" s="1"/>
  <c r="B44" i="2"/>
  <c r="I44" i="2" s="1"/>
  <c r="I13" i="2"/>
  <c r="I6" i="2"/>
  <c r="H48" i="2" l="1"/>
  <c r="H49" i="2" s="1"/>
  <c r="H51" i="2" s="1"/>
  <c r="D48" i="2"/>
  <c r="D49" i="2" s="1"/>
  <c r="D51" i="2" s="1"/>
  <c r="G48" i="2"/>
  <c r="G49" i="2" s="1"/>
  <c r="G51" i="2" s="1"/>
  <c r="B47" i="2"/>
  <c r="I23" i="2"/>
  <c r="I47" i="2" l="1"/>
  <c r="B5" i="3" s="1"/>
  <c r="B48" i="2"/>
  <c r="I48" i="2" s="1"/>
  <c r="B6" i="3" s="1"/>
  <c r="B49" i="2" l="1"/>
  <c r="I49" i="2" l="1"/>
  <c r="B7" i="3" s="1"/>
  <c r="B51" i="2"/>
  <c r="I51" i="2" l="1"/>
  <c r="B53" i="2"/>
  <c r="C53" i="2" s="1"/>
  <c r="D53" i="2" s="1"/>
  <c r="E53" i="2" s="1"/>
  <c r="F53" i="2" s="1"/>
  <c r="G53" i="2" s="1"/>
  <c r="H53" i="2" s="1"/>
  <c r="I53" i="2" s="1"/>
  <c r="B13" i="3" l="1"/>
  <c r="B12" i="3"/>
  <c r="B11" i="3"/>
  <c r="B8" i="3"/>
</calcChain>
</file>

<file path=xl/sharedStrings.xml><?xml version="1.0" encoding="utf-8"?>
<sst xmlns="http://schemas.openxmlformats.org/spreadsheetml/2006/main" count="291" uniqueCount="242">
  <si>
    <t>BUZBO — Budget Assumptions  |  Bridge Jun–Dec 2026</t>
  </si>
  <si>
    <t>Blue = inputs you can change  |  All amounts in EUR  |  Salaries = net amounts</t>
  </si>
  <si>
    <t xml:space="preserve">  PEOPLE — Net salaries (employer cost = net × 1.42 gross-up)</t>
  </si>
  <si>
    <t>Gross-up factor (net → employer total cost)</t>
  </si>
  <si>
    <t>NL: income tax + employee NI + employer NI ≈ +42% on net</t>
  </si>
  <si>
    <t>CEO — Anouk (net/month)</t>
  </si>
  <si>
    <t>Employer cost ≈ €4,260/mo</t>
  </si>
  <si>
    <t>CCO — Shinead (net/month)</t>
  </si>
  <si>
    <t>CTO — Tommy (net/month)</t>
  </si>
  <si>
    <t>Employer cost ≈ €4,260/mo. Starts July.</t>
  </si>
  <si>
    <t>Marketing PT × 2 (net/month each, 3d/wk)</t>
  </si>
  <si>
    <t>FT net €3,500 × 3/5 = €2,100 net. Starts July.</t>
  </si>
  <si>
    <t>Marketing PT headcount</t>
  </si>
  <si>
    <t>Marketing Content Creator FT (net/month) — VACANCY</t>
  </si>
  <si>
    <t>Full-time. Starts July. Employer cost ≈ €4,970/mo</t>
  </si>
  <si>
    <t>Designer — Freelancer (invoice/month)</t>
  </si>
  <si>
    <t>Day rate freelancer. No employer costs. Starts July.</t>
  </si>
  <si>
    <t>UX/UI — Chinar PT (net/month)</t>
  </si>
  <si>
    <t>Min wage NL 2026: €2,560 gross FT × 60% = €1,536 gross → ~€1,100 net. Must stay ≥ min wage.</t>
  </si>
  <si>
    <t xml:space="preserve">  PEOPLE — Flexible Shell</t>
  </si>
  <si>
    <t>Event host per city (per event)</t>
  </si>
  <si>
    <t>Freelance fee per event per city</t>
  </si>
  <si>
    <t>Event support crew (per event)</t>
  </si>
  <si>
    <t>2 support crew × €75 each</t>
  </si>
  <si>
    <t>Content creators — students/side jobs (monthly)</t>
  </si>
  <si>
    <t>3 creators × €500/month</t>
  </si>
  <si>
    <t xml:space="preserve">  EVENTS</t>
  </si>
  <si>
    <t>Cities active</t>
  </si>
  <si>
    <t>Den Haag, Amsterdam, Rotterdam</t>
  </si>
  <si>
    <t>Events per month</t>
  </si>
  <si>
    <t>1 per city per month</t>
  </si>
  <si>
    <t>Food &amp; drinks per event</t>
  </si>
  <si>
    <t>Event promotion per event</t>
  </si>
  <si>
    <t>Paid social, print, etc.</t>
  </si>
  <si>
    <t>Venue / location per event</t>
  </si>
  <si>
    <t>Update when paid venues needed</t>
  </si>
  <si>
    <t xml:space="preserve">  MARKETING &amp; OPERATIONS</t>
  </si>
  <si>
    <t>Marketing budget (monthly)</t>
  </si>
  <si>
    <t>Paid channels, campaigns, tools</t>
  </si>
  <si>
    <t>Office / coworking (monthly)</t>
  </si>
  <si>
    <t>Mauritskade / Titaan</t>
  </si>
  <si>
    <t>Software per person per month</t>
  </si>
  <si>
    <t>Notion, Slack, Canva, design tools</t>
  </si>
  <si>
    <t>Headcount (for software calc)</t>
  </si>
  <si>
    <t>All contracted team members + vacancy slot</t>
  </si>
  <si>
    <t>App hosting &amp; infra (monthly)</t>
  </si>
  <si>
    <t>Scales with users; review at 1k+ MAU</t>
  </si>
  <si>
    <t>Domestic travel NL (monthly)</t>
  </si>
  <si>
    <t>Train, intercity events across NL</t>
  </si>
  <si>
    <t xml:space="preserve">  LEGAL, FINANCE &amp; ADMIN</t>
  </si>
  <si>
    <t>Legal — incorporation + agreements (one-off)</t>
  </si>
  <si>
    <t>Delaware / NL BV, Shinead new agreement, investor docs</t>
  </si>
  <si>
    <t>Legal — ongoing (monthly)</t>
  </si>
  <si>
    <t>Ad hoc advice, contract updates</t>
  </si>
  <si>
    <t>Accountancy / bookkeeping (monthly)</t>
  </si>
  <si>
    <t>Monthly close + VAT returns</t>
  </si>
  <si>
    <t>Insurance — liability + D&amp;O (monthly)</t>
  </si>
  <si>
    <t>Beroepsaansprakelijkheid + directors</t>
  </si>
  <si>
    <t xml:space="preserve">  PEOPLE — Benefits &amp; Culture</t>
  </si>
  <si>
    <t>Team outing (per quarter)</t>
  </si>
  <si>
    <t>Quarterly team experience</t>
  </si>
  <si>
    <t>Benefits allowance (monthly, all staff)</t>
  </si>
  <si>
    <t>Mobility / wellness</t>
  </si>
  <si>
    <t xml:space="preserve">  CONTINGENCY</t>
  </si>
  <si>
    <t>Contingency buffer (%)</t>
  </si>
  <si>
    <t>12% on total costs — standard pre-revenue</t>
  </si>
  <si>
    <t xml:space="preserve">  REVENUE ASSUMPTIONS</t>
  </si>
  <si>
    <t>Avg ticket price (event)</t>
  </si>
  <si>
    <t>Up from €7.50 — conservative</t>
  </si>
  <si>
    <t>Avg attendees per event</t>
  </si>
  <si>
    <t>Conservative vs 70 at launch event</t>
  </si>
  <si>
    <t>Membership price (monthly)</t>
  </si>
  <si>
    <t>Entry-level recurring, intro pricing</t>
  </si>
  <si>
    <t>Membership signups — July (launch)</t>
  </si>
  <si>
    <t>Minimum launch cohort</t>
  </si>
  <si>
    <t>Membership MoM growth rate</t>
  </si>
  <si>
    <t>25% MoM — conservative pre-app-launch</t>
  </si>
  <si>
    <t>B2B talent introduction (monthly, from Aug)</t>
  </si>
  <si>
    <t>1 client × Buzbo Talent Intro €750/mo</t>
  </si>
  <si>
    <t>BUZBO — Monthly P&amp;L  |  Bridge Jun–Dec 2026  |  Salaries start July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</si>
  <si>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</si>
  <si>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</si>
  <si>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</si>
  <si>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</si>
  <si>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</si>
  <si>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</si>
  <si>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</si>
  <si>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</si>
  <si>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 xml:space="preserve">  REVENUE</t>
  </si>
  <si>
    <t xml:space="preserve">  Event ticket revenue</t>
  </si>
  <si>
    <t xml:space="preserve">  Membership revenue (recurring)</t>
  </si>
  <si>
    <t xml:space="preserve">  B2B talent introduction revenue</t>
  </si>
  <si>
    <t xml:space="preserve">  TOTAL REVENUE</t>
  </si>
  <si>
    <t xml:space="preserve">  COSTS — PEOPLE  (employer total cost = net × 1.42)</t>
  </si>
  <si>
    <t xml:space="preserve">  CEO — Anouk</t>
  </si>
  <si>
    <t xml:space="preserve">  CCO — Shinead</t>
  </si>
  <si>
    <t xml:space="preserve">  CTO — Tommy</t>
  </si>
  <si>
    <t xml:space="preserve">  Marketing PT × 2 (employer cost)</t>
  </si>
  <si>
    <t xml:space="preserve">  Marketing Content Creator FT (employer cost) — vacancy</t>
  </si>
  <si>
    <t xml:space="preserve">  Designer — Freelancer (invoice, no employer cost)</t>
  </si>
  <si>
    <t xml:space="preserve">  UX/UI — Chinar PT (employer cost)</t>
  </si>
  <si>
    <t xml:space="preserve">  Event hosts + support crew (per event × 3)</t>
  </si>
  <si>
    <t xml:space="preserve">  Content creators 3× students (monthly)</t>
  </si>
  <si>
    <t xml:space="preserve">  Benefits allowance</t>
  </si>
  <si>
    <t xml:space="preserve">  Team outing (quarterly: Jun, Sep, Dec)</t>
  </si>
  <si>
    <t xml:space="preserve">  TOTAL PEOPLE COSTS</t>
  </si>
  <si>
    <t xml:space="preserve">  COSTS — EVENTS</t>
  </si>
  <si>
    <t xml:space="preserve">  Food &amp; drinks</t>
  </si>
  <si>
    <t xml:space="preserve">  Event promotion</t>
  </si>
  <si>
    <t xml:space="preserve">  Venue / location</t>
  </si>
  <si>
    <t xml:space="preserve">  TOTAL EVENT COSTS</t>
  </si>
  <si>
    <t xml:space="preserve">  COSTS — MARKETING &amp; OPERATIONS</t>
  </si>
  <si>
    <t xml:space="preserve">  Marketing budget</t>
  </si>
  <si>
    <t xml:space="preserve">  Office / coworking</t>
  </si>
  <si>
    <t xml:space="preserve">  Software (headcount × €100)</t>
  </si>
  <si>
    <t xml:space="preserve">  App hosting &amp; infra</t>
  </si>
  <si>
    <t xml:space="preserve">  Domestic travel NL</t>
  </si>
  <si>
    <t xml:space="preserve">  TOTAL MARKETING &amp; OPS</t>
  </si>
  <si>
    <t xml:space="preserve">  COSTS — LEGAL, FINANCE &amp; ADMIN</t>
  </si>
  <si>
    <t xml:space="preserve">  Legal — incorporation + agreements (one-off)</t>
  </si>
  <si>
    <t xml:space="preserve">  Legal — ongoing monthly</t>
  </si>
  <si>
    <t xml:space="preserve">  Accountancy / bookkeeping</t>
  </si>
  <si>
    <t xml:space="preserve">  Insurance</t>
  </si>
  <si>
    <t xml:space="preserve">  TOTAL LEGAL &amp; FINANCE</t>
  </si>
  <si>
    <t xml:space="preserve">  SUMMARY</t>
  </si>
  <si>
    <t xml:space="preserve">  TOTAL COSTS (before contingency)</t>
  </si>
  <si>
    <t xml:space="preserve">  Contingency (12%)</t>
  </si>
  <si>
    <t xml:space="preserve">  TOTAL COSTS (incl. contingency)</t>
  </si>
  <si>
    <t xml:space="preserve">  NET BURN / SURPLUS  (Revenue – Total Costs)</t>
  </si>
  <si>
    <t xml:space="preserve">  CUMULATIVE CASH NEEDED (running total)</t>
  </si>
  <si>
    <t xml:space="preserve">  ➤  RECOMMENDED BRIDGE RAISE → see 'Bridge Summary' sheet for exact amount + use of funds</t>
  </si>
  <si>
    <t>BUZBO — Bridge Investment Summary  |  Jun–Dec 2026</t>
  </si>
  <si>
    <t xml:space="preserve">  BRIDGE PERIOD TOTALS  (Jun–Dec 2026)</t>
  </si>
  <si>
    <t>Total Revenue (7 months)</t>
  </si>
  <si>
    <t>Cross-referenced from P&amp;L</t>
  </si>
  <si>
    <t>Total Costs (before contingency)</t>
  </si>
  <si>
    <t>Contingency (12%)</t>
  </si>
  <si>
    <t>Total Costs (incl. contingency)</t>
  </si>
  <si>
    <t>Net Burn (Revenue – Total Costs)</t>
  </si>
  <si>
    <t>Negative = cash needed</t>
  </si>
  <si>
    <t xml:space="preserve">  RECOMMENDED BRIDGE RAISE</t>
  </si>
  <si>
    <t>Minimum required (absolute burn)</t>
  </si>
  <si>
    <t>Cash needed to survive the bridge period</t>
  </si>
  <si>
    <t>Safety buffer (+25%)</t>
  </si>
  <si>
    <t>Standard buffer for delays, overruns, slower revenue ramp</t>
  </si>
  <si>
    <t>RECOMMENDED BRIDGE RAISE</t>
  </si>
  <si>
    <t>Round UP to nearest €25k for investor presentation</t>
  </si>
  <si>
    <t xml:space="preserve">  USE OF FUNDS BREAKDOWN (approximate)</t>
  </si>
  <si>
    <t xml:space="preserve">  People &amp; salaries (incl. employer costs)</t>
  </si>
  <si>
    <t>≈ 60%</t>
  </si>
  <si>
    <t>Largest line — 8 roles incl. 1 vacancy</t>
  </si>
  <si>
    <t xml:space="preserve">  Marketing &amp; growth</t>
  </si>
  <si>
    <t>≈ 14%</t>
  </si>
  <si>
    <t xml:space="preserve">  Events (3/month × 3 cities)</t>
  </si>
  <si>
    <t>≈ 8%</t>
  </si>
  <si>
    <t>Food, promo, hosts — venue currently €0</t>
  </si>
  <si>
    <t xml:space="preserve">  Tech / hosting / software</t>
  </si>
  <si>
    <t>≈ 4%</t>
  </si>
  <si>
    <t>App infra + team software</t>
  </si>
  <si>
    <t xml:space="preserve">  Legal &amp; finance</t>
  </si>
  <si>
    <t>≈ 5%</t>
  </si>
  <si>
    <t>Incorporation, ongoing, accountancy, insurance</t>
  </si>
  <si>
    <t xml:space="preserve">  Contingency &amp; buffer (12% + 25%)</t>
  </si>
  <si>
    <t>≈ 9%</t>
  </si>
  <si>
    <t>Pre-revenue standard</t>
  </si>
  <si>
    <t xml:space="preserve">  INVESTOR NOTES</t>
  </si>
  <si>
    <t xml:space="preserve">  • All salaries are net amounts; employer cost = net × 1.42 (NL social charges)</t>
  </si>
  <si>
    <t xml:space="preserve">  • CEO salary starts June; all other salaries start July when bridge funding lands</t>
  </si>
  <si>
    <t xml:space="preserve">  • Revenue is conservative: €10 ticket × 40 attendees, small membership cohort, 1 B2B client</t>
  </si>
  <si>
    <t xml:space="preserve">  • Events: 3/month across Den Haag, Amsterdam, Rotterdam — scaling to more cities Q4</t>
  </si>
  <si>
    <t xml:space="preserve">  • App goes live September 2026 → revenue ramp expected Q4 2026 onwards</t>
  </si>
  <si>
    <t xml:space="preserve">  • Marketing Content Creator role is open vacancy — included in budget from July</t>
  </si>
  <si>
    <t xml:space="preserve">  • Designer is freelance (invoice), no employer costs</t>
  </si>
  <si>
    <t xml:space="preserve">  • Bridge raise bridges to Oct/Nov Series A — target €400k–800k institutional round</t>
  </si>
  <si>
    <t xml:space="preserve">  • Equity: 60% Anouk / 20% Shinead / 20% option pool (CTO 5%, balance for future hires)</t>
  </si>
  <si>
    <t>BUZBO — Headcount, Roles &amp; Equity Overview</t>
  </si>
  <si>
    <t>#</t>
  </si>
  <si>
    <t>Name</t>
  </si>
  <si>
    <t>Role</t>
  </si>
  <si>
    <t>Type</t>
  </si>
  <si>
    <t>Net/mo</t>
  </si>
  <si>
    <t>Emp.Cost/mo</t>
  </si>
  <si>
    <t>Equity</t>
  </si>
  <si>
    <t>Notes</t>
  </si>
  <si>
    <t>Anouk Horrevorts</t>
  </si>
  <si>
    <t>Founder &amp; CEO</t>
  </si>
  <si>
    <t>Full-time</t>
  </si>
  <si>
    <t>€3,000</t>
  </si>
  <si>
    <t>€4,260</t>
  </si>
  <si>
    <t>60%</t>
  </si>
  <si>
    <t>Founder. Starts Jun. 4yr vest 1yr cliff.</t>
  </si>
  <si>
    <t>Shinead Pond</t>
  </si>
  <si>
    <t>Co-Founder &amp; CCO</t>
  </si>
  <si>
    <t>20%</t>
  </si>
  <si>
    <t>New agreement needed (upgrade from 10%). Starts Jul.</t>
  </si>
  <si>
    <t>CTO</t>
  </si>
  <si>
    <t>5% (option pool)</t>
  </si>
  <si>
    <t>4yr vest 1yr cliff. Starts Jul.</t>
  </si>
  <si>
    <t>Marketing</t>
  </si>
  <si>
    <t>PT 3d/wk</t>
  </si>
  <si>
    <t>€2,100</t>
  </si>
  <si>
    <t>€2,982</t>
  </si>
  <si>
    <t>—</t>
  </si>
  <si>
    <t>Starts Jul.</t>
  </si>
  <si>
    <t>OPEN — Content Creator</t>
  </si>
  <si>
    <t>Social Media / Content</t>
  </si>
  <si>
    <t>€3,500</t>
  </si>
  <si>
    <t>€4,970</t>
  </si>
  <si>
    <t>VACANCY — priority hire Jul. Included in budget.</t>
  </si>
  <si>
    <t>Michael / Rhys</t>
  </si>
  <si>
    <t>Experience Designer</t>
  </si>
  <si>
    <t>Freelancer</t>
  </si>
  <si>
    <t>€4,000 inv.</t>
  </si>
  <si>
    <t>Invoice only, no employer cost. Starts Jul.</t>
  </si>
  <si>
    <t>Chinar</t>
  </si>
  <si>
    <t>UX/UI + Events Ops</t>
  </si>
  <si>
    <t>PT (junior)</t>
  </si>
  <si>
    <t>€1,100</t>
  </si>
  <si>
    <t>€1,562</t>
  </si>
  <si>
    <t>Min wage compliant. Events autonomy target. Starts Jul.</t>
  </si>
  <si>
    <t>Event Host — DH</t>
  </si>
  <si>
    <t>Event Host</t>
  </si>
  <si>
    <t>Per event</t>
  </si>
  <si>
    <t>€300/event</t>
  </si>
  <si>
    <t>Freelance per event</t>
  </si>
  <si>
    <t>Event Host — AMS</t>
  </si>
  <si>
    <t>Event Host — RTD</t>
  </si>
  <si>
    <t>Event Crew</t>
  </si>
  <si>
    <t>Support</t>
  </si>
  <si>
    <t>€150/event</t>
  </si>
  <si>
    <t>2× €75</t>
  </si>
  <si>
    <t>Content Creator 1</t>
  </si>
  <si>
    <t>Monthly</t>
  </si>
  <si>
    <t>€500/mo</t>
  </si>
  <si>
    <t xml:space="preserve">  Option pool: 20% total  |  CTO: 5%  |  Remaining 15% for designer (future), senior hires, advisors, Shinead upside  |  All equity: 4yr vest, 1yr cliff</t>
  </si>
  <si>
    <t>-</t>
  </si>
  <si>
    <t>Tommy</t>
  </si>
  <si>
    <t>Melanie</t>
  </si>
  <si>
    <t>Mela</t>
  </si>
  <si>
    <t>Stella</t>
  </si>
  <si>
    <t>Maria</t>
  </si>
  <si>
    <t>Manuela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</si>
</sst>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8" x14ac:knownFonts="1">
    <font>
      <sz val="11"/>
      <color theme="1"/>
      <name val="Calibri"/>
      <family val="2"/>
      <charset val="1"/>
    </font>
    <font>
      <b/>
      <sz val="13"/>
      <color rgb="FFFFFBF5"/>
      <name val="Arial"/>
      <family val="2"/>
    </font>
    <font>
      <i/>
      <sz val="9"/>
      <color rgb="FF888888"/>
      <name val="Arial"/>
      <family val="2"/>
    </font>
    <font>
      <b/>
      <sz val="10"/>
      <color rgb="FFFFFBF5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8B1A1A"/>
      <name val="Arial"/>
      <family val="2"/>
    </font>
    <font>
      <b/>
      <sz val="10"/>
      <color rgb="FF000000"/>
      <name val="Arial"/>
      <family val="2"/>
    </font>
    <font>
      <sz val="10"/>
      <color rgb="FF666666"/>
      <name val="Arial"/>
      <family val="2"/>
    </font>
    <font>
      <b/>
      <sz val="10"/>
      <name val="Arial"/>
      <family val="2"/>
    </font>
    <font>
      <b/>
      <sz val="11"/>
      <color rgb="FFFFFBF5"/>
      <name val="Arial"/>
      <family val="2"/>
    </font>
    <font>
      <sz val="10"/>
      <color rgb="FF006400"/>
      <name val="Arial"/>
      <family val="2"/>
    </font>
    <font>
      <b/>
      <sz val="12"/>
      <color rgb="FFFFFBF5"/>
      <name val="Arial"/>
      <family val="2"/>
    </font>
    <font>
      <i/>
      <sz val="9"/>
      <color rgb="FFFFFBF5"/>
      <name val="Arial"/>
      <family val="2"/>
    </font>
    <font>
      <sz val="9"/>
      <color rgb="FF444444"/>
      <name val="Arial"/>
      <family val="2"/>
    </font>
    <font>
      <sz val="9"/>
      <color rgb="FF000000"/>
      <name val="Arial"/>
      <family val="2"/>
    </font>
    <font>
      <sz val="9"/>
      <color rgb="FF8B0000"/>
      <name val="Arial"/>
      <family val="2"/>
    </font>
    <font>
      <i/>
      <sz val="9"/>
      <color rgb="FF55555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B1A1A"/>
        <bgColor rgb="FF8B0000"/>
      </patternFill>
    </fill>
    <fill>
      <patternFill patternType="solid">
        <fgColor rgb="FFFFFFFF"/>
        <bgColor rgb="FFFFFBF5"/>
      </patternFill>
    </fill>
    <fill>
      <patternFill patternType="solid">
        <fgColor rgb="FFF3EAC0"/>
        <bgColor rgb="FFFFFBF5"/>
      </patternFill>
    </fill>
    <fill>
      <patternFill patternType="solid">
        <fgColor rgb="FFC4433A"/>
        <bgColor rgb="FF99336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7" fillId="4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164" fontId="11" fillId="3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left" vertical="center"/>
    </xf>
    <xf numFmtId="164" fontId="12" fillId="2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CCCCCC"/>
      <rgbColor rgb="FF888888"/>
      <rgbColor rgb="FF9999FF"/>
      <rgbColor rgb="FFC4433A"/>
      <rgbColor rgb="FFFFFB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A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B1A1A"/>
      <rgbColor rgb="FF993366"/>
      <rgbColor rgb="FF55555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showGridLines="0" topLeftCell="A16" zoomScaleNormal="100" workbookViewId="0">
      <selection activeCell="B38" sqref="B38"/>
    </sheetView>
  </sheetViews>
  <sheetFormatPr baseColWidth="10" defaultColWidth="8.6640625" defaultRowHeight="15" x14ac:dyDescent="0.2"/>
  <cols>
    <col min="1" max="1" width="40" customWidth="1"/>
    <col min="2" max="2" width="18" customWidth="1"/>
    <col min="3" max="3" width="38" customWidth="1"/>
  </cols>
  <sheetData>
    <row r="1" spans="1:3" ht="27.75" customHeight="1" x14ac:dyDescent="0.2">
      <c r="A1" s="10" t="s">
        <v>0</v>
      </c>
      <c r="B1" s="10"/>
      <c r="C1" s="10"/>
    </row>
    <row r="2" spans="1:3" ht="13.5" customHeight="1" x14ac:dyDescent="0.2">
      <c r="A2" s="9" t="s">
        <v>1</v>
      </c>
      <c r="B2" s="9"/>
      <c r="C2" s="9"/>
    </row>
    <row r="3" spans="1:3" ht="6" customHeight="1" x14ac:dyDescent="0.2"/>
    <row r="4" spans="1:3" ht="21" customHeight="1" x14ac:dyDescent="0.2">
      <c r="A4" s="8" t="s">
        <v>2</v>
      </c>
      <c r="B4" s="8"/>
      <c r="C4" s="8"/>
    </row>
    <row r="5" spans="1:3" ht="18" customHeight="1" x14ac:dyDescent="0.2">
      <c r="A5" s="13" t="s">
        <v>3</v>
      </c>
      <c r="B5" s="14">
        <v>1.42</v>
      </c>
      <c r="C5" s="11" t="s">
        <v>4</v>
      </c>
    </row>
    <row r="6" spans="1:3" ht="18" customHeight="1" x14ac:dyDescent="0.2">
      <c r="A6" s="13" t="s">
        <v>5</v>
      </c>
      <c r="B6" s="15">
        <v>3500</v>
      </c>
      <c r="C6" s="11" t="s">
        <v>6</v>
      </c>
    </row>
    <row r="7" spans="1:3" ht="18" customHeight="1" x14ac:dyDescent="0.2">
      <c r="A7" s="13" t="s">
        <v>7</v>
      </c>
      <c r="B7" s="15">
        <v>3500</v>
      </c>
      <c r="C7" s="11" t="s">
        <v>6</v>
      </c>
    </row>
    <row r="8" spans="1:3" ht="18" customHeight="1" x14ac:dyDescent="0.2">
      <c r="A8" s="13" t="s">
        <v>8</v>
      </c>
      <c r="B8" s="15">
        <v>3000</v>
      </c>
      <c r="C8" s="11" t="s">
        <v>9</v>
      </c>
    </row>
    <row r="9" spans="1:3" ht="18" customHeight="1" x14ac:dyDescent="0.2">
      <c r="A9" s="13" t="s">
        <v>10</v>
      </c>
      <c r="B9" s="15">
        <v>2100</v>
      </c>
      <c r="C9" s="11" t="s">
        <v>11</v>
      </c>
    </row>
    <row r="10" spans="1:3" ht="18" customHeight="1" x14ac:dyDescent="0.2">
      <c r="A10" s="13" t="s">
        <v>12</v>
      </c>
      <c r="B10" s="15">
        <v>2</v>
      </c>
      <c r="C10" s="11"/>
    </row>
    <row r="11" spans="1:3" ht="18" customHeight="1" x14ac:dyDescent="0.2">
      <c r="A11" s="13" t="s">
        <v>13</v>
      </c>
      <c r="B11" s="15">
        <v>3300</v>
      </c>
      <c r="C11" s="11" t="s">
        <v>14</v>
      </c>
    </row>
    <row r="12" spans="1:3" ht="18" customHeight="1" x14ac:dyDescent="0.2">
      <c r="A12" s="13" t="s">
        <v>15</v>
      </c>
      <c r="B12" s="15">
        <v>4000</v>
      </c>
      <c r="C12" s="11" t="s">
        <v>16</v>
      </c>
    </row>
    <row r="13" spans="1:3" ht="18" customHeight="1" x14ac:dyDescent="0.2">
      <c r="A13" s="13" t="s">
        <v>17</v>
      </c>
      <c r="B13" s="15">
        <v>1500</v>
      </c>
      <c r="C13" s="11" t="s">
        <v>18</v>
      </c>
    </row>
    <row r="15" spans="1:3" ht="21" customHeight="1" x14ac:dyDescent="0.2">
      <c r="A15" s="8" t="s">
        <v>19</v>
      </c>
      <c r="B15" s="8"/>
      <c r="C15" s="8"/>
    </row>
    <row r="16" spans="1:3" ht="18" customHeight="1" x14ac:dyDescent="0.2">
      <c r="A16" s="13" t="s">
        <v>20</v>
      </c>
      <c r="B16" s="15">
        <v>300</v>
      </c>
      <c r="C16" s="11" t="s">
        <v>21</v>
      </c>
    </row>
    <row r="17" spans="1:3" ht="18" customHeight="1" x14ac:dyDescent="0.2">
      <c r="A17" s="13" t="s">
        <v>22</v>
      </c>
      <c r="B17" s="15">
        <v>150</v>
      </c>
      <c r="C17" s="11" t="s">
        <v>23</v>
      </c>
    </row>
    <row r="18" spans="1:3" ht="18" customHeight="1" x14ac:dyDescent="0.2">
      <c r="A18" s="13" t="s">
        <v>24</v>
      </c>
      <c r="B18" s="15">
        <v>1500</v>
      </c>
      <c r="C18" s="11" t="s">
        <v>25</v>
      </c>
    </row>
    <row r="20" spans="1:3" ht="21" customHeight="1" x14ac:dyDescent="0.2">
      <c r="A20" s="8" t="s">
        <v>26</v>
      </c>
      <c r="B20" s="8"/>
      <c r="C20" s="8"/>
    </row>
    <row r="21" spans="1:3" ht="18" customHeight="1" x14ac:dyDescent="0.2">
      <c r="A21" s="13" t="s">
        <v>27</v>
      </c>
      <c r="B21" s="15">
        <v>3</v>
      </c>
      <c r="C21" s="11" t="s">
        <v>28</v>
      </c>
    </row>
    <row r="22" spans="1:3" ht="18" customHeight="1" x14ac:dyDescent="0.2">
      <c r="A22" s="13" t="s">
        <v>29</v>
      </c>
      <c r="B22" s="15">
        <v>3</v>
      </c>
      <c r="C22" s="11" t="s">
        <v>30</v>
      </c>
    </row>
    <row r="23" spans="1:3" ht="18" customHeight="1" x14ac:dyDescent="0.2">
      <c r="A23" s="13" t="s">
        <v>31</v>
      </c>
      <c r="B23" s="15">
        <v>500</v>
      </c>
      <c r="C23" s="11"/>
    </row>
    <row r="24" spans="1:3" ht="18" customHeight="1" x14ac:dyDescent="0.2">
      <c r="A24" s="13" t="s">
        <v>32</v>
      </c>
      <c r="B24" s="15">
        <v>200</v>
      </c>
      <c r="C24" s="11" t="s">
        <v>33</v>
      </c>
    </row>
    <row r="25" spans="1:3" ht="18" customHeight="1" x14ac:dyDescent="0.2">
      <c r="A25" s="13" t="s">
        <v>34</v>
      </c>
      <c r="B25" s="15">
        <v>0</v>
      </c>
      <c r="C25" s="11" t="s">
        <v>35</v>
      </c>
    </row>
    <row r="27" spans="1:3" ht="21" customHeight="1" x14ac:dyDescent="0.2">
      <c r="A27" s="8" t="s">
        <v>36</v>
      </c>
      <c r="B27" s="8"/>
      <c r="C27" s="8"/>
    </row>
    <row r="28" spans="1:3" ht="18" customHeight="1" x14ac:dyDescent="0.2">
      <c r="A28" s="13" t="s">
        <v>37</v>
      </c>
      <c r="B28" s="15">
        <v>5000</v>
      </c>
      <c r="C28" s="11" t="s">
        <v>38</v>
      </c>
    </row>
    <row r="29" spans="1:3" ht="18" customHeight="1" x14ac:dyDescent="0.2">
      <c r="A29" s="13" t="s">
        <v>39</v>
      </c>
      <c r="B29" s="15">
        <v>1000</v>
      </c>
      <c r="C29" s="11" t="s">
        <v>40</v>
      </c>
    </row>
    <row r="30" spans="1:3" ht="18" customHeight="1" x14ac:dyDescent="0.2">
      <c r="A30" s="13" t="s">
        <v>41</v>
      </c>
      <c r="B30" s="15">
        <v>100</v>
      </c>
      <c r="C30" s="11" t="s">
        <v>42</v>
      </c>
    </row>
    <row r="31" spans="1:3" ht="18" customHeight="1" x14ac:dyDescent="0.2">
      <c r="A31" s="13" t="s">
        <v>43</v>
      </c>
      <c r="B31" s="15">
        <v>10</v>
      </c>
      <c r="C31" s="11" t="s">
        <v>44</v>
      </c>
    </row>
    <row r="32" spans="1:3" ht="18" customHeight="1" x14ac:dyDescent="0.2">
      <c r="A32" s="13" t="s">
        <v>45</v>
      </c>
      <c r="B32" s="15">
        <v>300</v>
      </c>
      <c r="C32" s="11" t="s">
        <v>46</v>
      </c>
    </row>
    <row r="33" spans="1:3" ht="18" customHeight="1" x14ac:dyDescent="0.2">
      <c r="A33" s="13" t="s">
        <v>47</v>
      </c>
      <c r="B33" s="15">
        <v>400</v>
      </c>
      <c r="C33" s="11" t="s">
        <v>48</v>
      </c>
    </row>
    <row r="35" spans="1:3" ht="21" customHeight="1" x14ac:dyDescent="0.2">
      <c r="A35" s="8" t="s">
        <v>49</v>
      </c>
      <c r="B35" s="8"/>
      <c r="C35" s="8"/>
    </row>
    <row r="36" spans="1:3" ht="18" customHeight="1" x14ac:dyDescent="0.2">
      <c r="A36" s="13" t="s">
        <v>50</v>
      </c>
      <c r="B36" s="15">
        <v>3500</v>
      </c>
      <c r="C36" s="11" t="s">
        <v>51</v>
      </c>
    </row>
    <row r="37" spans="1:3" ht="18" customHeight="1" x14ac:dyDescent="0.2">
      <c r="A37" s="13" t="s">
        <v>52</v>
      </c>
      <c r="B37" s="15">
        <v>200</v>
      </c>
      <c r="C37" s="11" t="s">
        <v>53</v>
      </c>
    </row>
    <row r="38" spans="1:3" ht="18" customHeight="1" x14ac:dyDescent="0.2">
      <c r="A38" s="13" t="s">
        <v>54</v>
      </c>
      <c r="B38" s="15">
        <v>500</v>
      </c>
      <c r="C38" s="11" t="s">
        <v>55</v>
      </c>
    </row>
    <row r="39" spans="1:3" ht="18" customHeight="1" x14ac:dyDescent="0.2">
      <c r="A39" s="13" t="s">
        <v>56</v>
      </c>
      <c r="B39" s="15">
        <v>300</v>
      </c>
      <c r="C39" s="11" t="s">
        <v>57</v>
      </c>
    </row>
    <row r="41" spans="1:3" ht="21" customHeight="1" x14ac:dyDescent="0.2">
      <c r="A41" s="8" t="s">
        <v>58</v>
      </c>
      <c r="B41" s="8"/>
      <c r="C41" s="8"/>
    </row>
    <row r="42" spans="1:3" ht="18" customHeight="1" x14ac:dyDescent="0.2">
      <c r="A42" s="13" t="s">
        <v>59</v>
      </c>
      <c r="B42" s="15">
        <v>500</v>
      </c>
      <c r="C42" s="11" t="s">
        <v>60</v>
      </c>
    </row>
    <row r="43" spans="1:3" ht="18" customHeight="1" x14ac:dyDescent="0.2">
      <c r="A43" s="13" t="s">
        <v>61</v>
      </c>
      <c r="B43" s="15">
        <v>200</v>
      </c>
      <c r="C43" s="11" t="s">
        <v>62</v>
      </c>
    </row>
    <row r="45" spans="1:3" ht="21" customHeight="1" x14ac:dyDescent="0.2">
      <c r="A45" s="8" t="s">
        <v>63</v>
      </c>
      <c r="B45" s="8"/>
      <c r="C45" s="8"/>
    </row>
    <row r="46" spans="1:3" ht="18" customHeight="1" x14ac:dyDescent="0.2">
      <c r="A46" s="13" t="s">
        <v>64</v>
      </c>
      <c r="B46" s="16">
        <v>0.12</v>
      </c>
      <c r="C46" s="11" t="s">
        <v>65</v>
      </c>
    </row>
    <row r="48" spans="1:3" ht="21" customHeight="1" x14ac:dyDescent="0.2">
      <c r="A48" s="8" t="s">
        <v>66</v>
      </c>
      <c r="B48" s="8"/>
      <c r="C48" s="8"/>
    </row>
    <row r="49" spans="1:3" ht="18" customHeight="1" x14ac:dyDescent="0.2">
      <c r="A49" s="13" t="s">
        <v>67</v>
      </c>
      <c r="B49" s="15">
        <v>10</v>
      </c>
      <c r="C49" s="11" t="s">
        <v>68</v>
      </c>
    </row>
    <row r="50" spans="1:3" ht="18" customHeight="1" x14ac:dyDescent="0.2">
      <c r="A50" s="13" t="s">
        <v>69</v>
      </c>
      <c r="B50" s="15">
        <v>40</v>
      </c>
      <c r="C50" s="11" t="s">
        <v>70</v>
      </c>
    </row>
    <row r="51" spans="1:3" ht="18" customHeight="1" x14ac:dyDescent="0.2">
      <c r="A51" s="13" t="s">
        <v>71</v>
      </c>
      <c r="B51" s="15">
        <v>9</v>
      </c>
      <c r="C51" s="11" t="s">
        <v>72</v>
      </c>
    </row>
    <row r="52" spans="1:3" ht="18" customHeight="1" x14ac:dyDescent="0.2">
      <c r="A52" s="13" t="s">
        <v>73</v>
      </c>
      <c r="B52" s="15">
        <v>20</v>
      </c>
      <c r="C52" s="11" t="s">
        <v>74</v>
      </c>
    </row>
    <row r="53" spans="1:3" ht="18" customHeight="1" x14ac:dyDescent="0.2">
      <c r="A53" s="13" t="s">
        <v>75</v>
      </c>
      <c r="B53" s="16">
        <v>0.25</v>
      </c>
      <c r="C53" s="11" t="s">
        <v>76</v>
      </c>
    </row>
    <row r="54" spans="1:3" ht="18" customHeight="1" x14ac:dyDescent="0.2">
      <c r="A54" s="13" t="s">
        <v>77</v>
      </c>
      <c r="B54" s="15">
        <v>750</v>
      </c>
      <c r="C54" s="11" t="s">
        <v>78</v>
      </c>
    </row>
  </sheetData>
  <mergeCells count="10">
    <mergeCell ref="A27:C27"/>
    <mergeCell ref="A35:C35"/>
    <mergeCell ref="A41:C41"/>
    <mergeCell ref="A45:C45"/>
    <mergeCell ref="A48:C48"/>
    <mergeCell ref="A1:C1"/>
    <mergeCell ref="A2:C2"/>
    <mergeCell ref="A4:C4"/>
    <mergeCell ref="A15:C15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9" sqref="H9"/>
    </sheetView>
  </sheetViews>
  <sheetFormatPr baseColWidth="10" defaultColWidth="8.6640625" defaultRowHeight="15" x14ac:dyDescent="0.2"/>
  <cols>
    <col min="1" max="1" width="42" customWidth="1"/>
    <col min="2" max="9" width="13" customWidth="1"/>
  </cols>
  <sheetData>
    <row r="1" spans="1:9" ht="27.75" customHeight="1" x14ac:dyDescent="0.2">
      <c r="A1" s="7" t="s">
        <v>79</v>
      </c>
      <c r="B1" s="7"/>
      <c r="C1" s="7"/>
      <c r="D1" s="7"/>
      <c r="E1" s="7"/>
      <c r="F1" s="7"/>
      <c r="G1" s="7"/>
      <c r="H1" s="7"/>
      <c r="I1" s="7"/>
    </row>
    <row r="4" spans="1:9" ht="19.5" customHeight="1" x14ac:dyDescent="0.2">
      <c r="A4" s="17"/>
      <c r="B4" s="18" t="s">
        <v>80</v>
      </c>
      <c r="C4" s="18" t="s">
        <v>81</v>
      </c>
      <c r="D4" s="18" t="s">
        <v>82</v>
      </c>
      <c r="E4" s="18" t="s">
        <v>83</v>
      </c>
      <c r="F4" s="18" t="s">
        <v>84</v>
      </c>
      <c r="G4" s="18" t="s">
        <v>85</v>
      </c>
      <c r="H4" s="18" t="s">
        <v>86</v>
      </c>
      <c r="I4" s="18" t="s">
        <v>87</v>
      </c>
    </row>
    <row r="5" spans="1:9" ht="19.5" customHeight="1" x14ac:dyDescent="0.2">
      <c r="A5" s="6" t="s">
        <v>88</v>
      </c>
      <c r="B5" s="6"/>
      <c r="C5" s="6"/>
      <c r="D5" s="6"/>
      <c r="E5" s="6"/>
      <c r="F5" s="6"/>
      <c r="G5" s="6"/>
      <c r="H5" s="6"/>
      <c r="I5" s="6"/>
    </row>
    <row r="6" spans="1:9" ht="16.5" customHeight="1" x14ac:dyDescent="0.2">
      <c r="A6" s="19" t="s">
        <v>89</v>
      </c>
      <c r="B6" s="20">
        <v>217</v>
      </c>
      <c r="C6" s="20">
        <v>200</v>
      </c>
      <c r="D6" s="20">
        <v>400</v>
      </c>
      <c r="E6" s="20">
        <v>600</v>
      </c>
      <c r="F6" s="20">
        <v>800</v>
      </c>
      <c r="G6" s="20">
        <v>1000</v>
      </c>
      <c r="H6" s="20">
        <v>1000</v>
      </c>
      <c r="I6" s="20">
        <f>SUM(B6:H6)</f>
        <v>4217</v>
      </c>
    </row>
    <row r="7" spans="1:9" ht="16.5" customHeight="1" x14ac:dyDescent="0.2">
      <c r="A7" s="19" t="s">
        <v>90</v>
      </c>
      <c r="B7" s="20">
        <v>0</v>
      </c>
      <c r="C7" s="20">
        <v>500</v>
      </c>
      <c r="D7" s="20">
        <v>1000</v>
      </c>
      <c r="E7" s="20">
        <v>5000</v>
      </c>
      <c r="F7" s="20">
        <v>10000</v>
      </c>
      <c r="G7" s="20">
        <v>25000</v>
      </c>
      <c r="H7" s="20">
        <v>50000</v>
      </c>
      <c r="I7" s="20">
        <f>SUM(B7:H7)</f>
        <v>91500</v>
      </c>
    </row>
    <row r="8" spans="1:9" ht="16.5" customHeight="1" x14ac:dyDescent="0.2">
      <c r="A8" s="19" t="s">
        <v>91</v>
      </c>
      <c r="B8" s="20">
        <v>0</v>
      </c>
      <c r="C8" s="20">
        <v>0</v>
      </c>
      <c r="D8" s="20">
        <f>Assumptions!B47</f>
        <v>0</v>
      </c>
      <c r="E8" s="20">
        <f>Assumptions!B47</f>
        <v>0</v>
      </c>
      <c r="F8" s="20">
        <f>Assumptions!B47*1.5</f>
        <v>0</v>
      </c>
      <c r="G8" s="20">
        <f>Assumptions!B47*2</f>
        <v>0</v>
      </c>
      <c r="H8" s="20">
        <f>Assumptions!B47*2</f>
        <v>0</v>
      </c>
      <c r="I8" s="20">
        <f>SUM(B8:H8)</f>
        <v>0</v>
      </c>
    </row>
    <row r="9" spans="1:9" ht="16.5" customHeight="1" x14ac:dyDescent="0.2">
      <c r="A9" s="21" t="s">
        <v>92</v>
      </c>
      <c r="B9" s="22">
        <f t="shared" ref="B9:H9" si="0">B6+B7+B8</f>
        <v>217</v>
      </c>
      <c r="C9" s="22">
        <f t="shared" si="0"/>
        <v>700</v>
      </c>
      <c r="D9" s="22">
        <f t="shared" si="0"/>
        <v>1400</v>
      </c>
      <c r="E9" s="22">
        <f t="shared" si="0"/>
        <v>5600</v>
      </c>
      <c r="F9" s="22">
        <f t="shared" si="0"/>
        <v>10800</v>
      </c>
      <c r="G9" s="22">
        <f t="shared" si="0"/>
        <v>26000</v>
      </c>
      <c r="H9" s="22">
        <f t="shared" si="0"/>
        <v>51000</v>
      </c>
      <c r="I9" s="22">
        <f>SUM(B9:H9)</f>
        <v>95717</v>
      </c>
    </row>
    <row r="10" spans="1:9" ht="4.5" customHeight="1" x14ac:dyDescent="0.2"/>
    <row r="11" spans="1:9" ht="19.5" customHeight="1" x14ac:dyDescent="0.2">
      <c r="A11" s="6" t="s">
        <v>93</v>
      </c>
      <c r="B11" s="6"/>
      <c r="C11" s="6"/>
      <c r="D11" s="6"/>
      <c r="E11" s="6"/>
      <c r="F11" s="6"/>
      <c r="G11" s="6"/>
      <c r="H11" s="6"/>
      <c r="I11" s="6"/>
    </row>
    <row r="12" spans="1:9" ht="16.5" customHeight="1" x14ac:dyDescent="0.2">
      <c r="A12" s="19" t="s">
        <v>94</v>
      </c>
      <c r="B12" s="20" t="s">
        <v>235</v>
      </c>
      <c r="C12" s="20">
        <f>Assumptions!B6*Assumptions!B5</f>
        <v>4970</v>
      </c>
      <c r="D12" s="20">
        <f>Assumptions!B6*Assumptions!B5</f>
        <v>4970</v>
      </c>
      <c r="E12" s="20">
        <f>Assumptions!B6*Assumptions!B5</f>
        <v>4970</v>
      </c>
      <c r="F12" s="20">
        <f>Assumptions!B6*Assumptions!B5</f>
        <v>4970</v>
      </c>
      <c r="G12" s="20">
        <f>Assumptions!B6*Assumptions!B5</f>
        <v>4970</v>
      </c>
      <c r="H12" s="20">
        <f>Assumptions!B6*Assumptions!B5</f>
        <v>4970</v>
      </c>
      <c r="I12" s="20">
        <f t="shared" ref="I12:I23" si="1">SUM(B12:H12)</f>
        <v>29820</v>
      </c>
    </row>
    <row r="13" spans="1:9" ht="16.5" customHeight="1" x14ac:dyDescent="0.2">
      <c r="A13" s="19" t="s">
        <v>95</v>
      </c>
      <c r="B13" s="20">
        <v>0</v>
      </c>
      <c r="C13" s="20">
        <f>Assumptions!B7*Assumptions!B5</f>
        <v>4970</v>
      </c>
      <c r="D13" s="20">
        <f>Assumptions!B7*Assumptions!B5</f>
        <v>4970</v>
      </c>
      <c r="E13" s="20">
        <f>Assumptions!B7*Assumptions!B5</f>
        <v>4970</v>
      </c>
      <c r="F13" s="20">
        <f>Assumptions!B7*Assumptions!B5</f>
        <v>4970</v>
      </c>
      <c r="G13" s="20">
        <f>Assumptions!B7*Assumptions!B5</f>
        <v>4970</v>
      </c>
      <c r="H13" s="20">
        <f>Assumptions!B7*Assumptions!B5</f>
        <v>4970</v>
      </c>
      <c r="I13" s="20">
        <f t="shared" si="1"/>
        <v>29820</v>
      </c>
    </row>
    <row r="14" spans="1:9" ht="16.5" customHeight="1" x14ac:dyDescent="0.2">
      <c r="A14" s="19" t="s">
        <v>96</v>
      </c>
      <c r="B14" s="20">
        <v>0</v>
      </c>
      <c r="C14" s="20">
        <f>Assumptions!B8*Assumptions!B5</f>
        <v>4260</v>
      </c>
      <c r="D14" s="20">
        <f>Assumptions!B8*Assumptions!B5</f>
        <v>4260</v>
      </c>
      <c r="E14" s="20">
        <f>Assumptions!B8*Assumptions!B5</f>
        <v>4260</v>
      </c>
      <c r="F14" s="20">
        <f>Assumptions!B8*Assumptions!B5</f>
        <v>4260</v>
      </c>
      <c r="G14" s="20">
        <f>Assumptions!B8*Assumptions!B5</f>
        <v>4260</v>
      </c>
      <c r="H14" s="20">
        <f>Assumptions!B8*Assumptions!B5</f>
        <v>4260</v>
      </c>
      <c r="I14" s="20">
        <f t="shared" si="1"/>
        <v>25560</v>
      </c>
    </row>
    <row r="15" spans="1:9" ht="16.5" customHeight="1" x14ac:dyDescent="0.2">
      <c r="A15" s="19" t="s">
        <v>97</v>
      </c>
      <c r="B15" s="20">
        <v>0</v>
      </c>
      <c r="C15" s="20">
        <f>Assumptions!B9*Assumptions!B5*Assumptions!B10</f>
        <v>5964</v>
      </c>
      <c r="D15" s="20">
        <f>Assumptions!B9*Assumptions!B5*Assumptions!B10</f>
        <v>5964</v>
      </c>
      <c r="E15" s="20">
        <f>Assumptions!B9*Assumptions!B5*Assumptions!B10</f>
        <v>5964</v>
      </c>
      <c r="F15" s="20">
        <f>Assumptions!B9*Assumptions!B5*Assumptions!B10</f>
        <v>5964</v>
      </c>
      <c r="G15" s="20">
        <f>Assumptions!B9*Assumptions!B5*Assumptions!B10</f>
        <v>5964</v>
      </c>
      <c r="H15" s="20">
        <f>Assumptions!B9*Assumptions!B5*Assumptions!B10</f>
        <v>5964</v>
      </c>
      <c r="I15" s="20">
        <f t="shared" si="1"/>
        <v>35784</v>
      </c>
    </row>
    <row r="16" spans="1:9" ht="16.5" customHeight="1" x14ac:dyDescent="0.2">
      <c r="A16" s="19" t="s">
        <v>98</v>
      </c>
      <c r="B16" s="20">
        <v>0</v>
      </c>
      <c r="C16" s="20">
        <f>Assumptions!B11*Assumptions!B5</f>
        <v>4686</v>
      </c>
      <c r="D16" s="20">
        <f>Assumptions!B11*Assumptions!B5</f>
        <v>4686</v>
      </c>
      <c r="E16" s="20">
        <f>Assumptions!B11*Assumptions!B5</f>
        <v>4686</v>
      </c>
      <c r="F16" s="20">
        <f>Assumptions!B11*Assumptions!B5</f>
        <v>4686</v>
      </c>
      <c r="G16" s="20">
        <f>Assumptions!B11*Assumptions!B5</f>
        <v>4686</v>
      </c>
      <c r="H16" s="20">
        <f>Assumptions!B11*Assumptions!B5</f>
        <v>4686</v>
      </c>
      <c r="I16" s="20">
        <f t="shared" si="1"/>
        <v>28116</v>
      </c>
    </row>
    <row r="17" spans="1:9" ht="16.5" customHeight="1" x14ac:dyDescent="0.2">
      <c r="A17" s="19" t="s">
        <v>99</v>
      </c>
      <c r="B17" s="20">
        <v>0</v>
      </c>
      <c r="C17" s="20">
        <f>Assumptions!B12</f>
        <v>4000</v>
      </c>
      <c r="D17" s="20">
        <f>Assumptions!B12</f>
        <v>4000</v>
      </c>
      <c r="E17" s="20">
        <f>Assumptions!B12</f>
        <v>4000</v>
      </c>
      <c r="F17" s="20">
        <f>Assumptions!B12</f>
        <v>4000</v>
      </c>
      <c r="G17" s="20">
        <f>Assumptions!B12</f>
        <v>4000</v>
      </c>
      <c r="H17" s="20">
        <f>Assumptions!B12</f>
        <v>4000</v>
      </c>
      <c r="I17" s="20">
        <f t="shared" si="1"/>
        <v>24000</v>
      </c>
    </row>
    <row r="18" spans="1:9" ht="16.5" customHeight="1" x14ac:dyDescent="0.2">
      <c r="A18" s="19" t="s">
        <v>100</v>
      </c>
      <c r="B18" s="20">
        <v>0</v>
      </c>
      <c r="C18" s="20">
        <f>Assumptions!B13*Assumptions!B5</f>
        <v>2130</v>
      </c>
      <c r="D18" s="20">
        <f>Assumptions!B13*Assumptions!B5</f>
        <v>2130</v>
      </c>
      <c r="E18" s="20">
        <f>Assumptions!B13*Assumptions!B5</f>
        <v>2130</v>
      </c>
      <c r="F18" s="20">
        <f>Assumptions!B13*Assumptions!B5</f>
        <v>2130</v>
      </c>
      <c r="G18" s="20">
        <f>Assumptions!B13*Assumptions!B5</f>
        <v>2130</v>
      </c>
      <c r="H18" s="20">
        <f>Assumptions!B13*Assumptions!B5</f>
        <v>2130</v>
      </c>
      <c r="I18" s="20">
        <f t="shared" si="1"/>
        <v>12780</v>
      </c>
    </row>
    <row r="19" spans="1:9" ht="16.5" customHeight="1" x14ac:dyDescent="0.2">
      <c r="A19" s="19" t="s">
        <v>101</v>
      </c>
      <c r="B19" s="20">
        <f>(Assumptions!B15+Assumptions!B16)*Assumptions!B20</f>
        <v>0</v>
      </c>
      <c r="C19" s="20">
        <f>(Assumptions!B15+Assumptions!B16)*Assumptions!B20</f>
        <v>0</v>
      </c>
      <c r="D19" s="20">
        <f>(Assumptions!B15+Assumptions!B16)*Assumptions!B20</f>
        <v>0</v>
      </c>
      <c r="E19" s="20">
        <f>(Assumptions!B15+Assumptions!B16)*Assumptions!B20</f>
        <v>0</v>
      </c>
      <c r="F19" s="20">
        <f>(Assumptions!B15+Assumptions!B16)*Assumptions!B20</f>
        <v>0</v>
      </c>
      <c r="G19" s="20">
        <f>(Assumptions!B15+Assumptions!B16)*Assumptions!B20</f>
        <v>0</v>
      </c>
      <c r="H19" s="20">
        <f>(Assumptions!B15+Assumptions!B16)*Assumptions!B20</f>
        <v>0</v>
      </c>
      <c r="I19" s="20">
        <f t="shared" si="1"/>
        <v>0</v>
      </c>
    </row>
    <row r="20" spans="1:9" ht="16.5" customHeight="1" x14ac:dyDescent="0.2">
      <c r="A20" s="19" t="s">
        <v>102</v>
      </c>
      <c r="B20" s="20" t="s">
        <v>235</v>
      </c>
      <c r="C20" s="20">
        <f>Assumptions!$B$17*Assumptions!$B$5</f>
        <v>213</v>
      </c>
      <c r="D20" s="20">
        <f>Assumptions!$B$17*Assumptions!$B$5</f>
        <v>213</v>
      </c>
      <c r="E20" s="20">
        <f>Assumptions!$B$17*Assumptions!$B$5</f>
        <v>213</v>
      </c>
      <c r="F20" s="20">
        <f>Assumptions!$B$17*Assumptions!$B$5</f>
        <v>213</v>
      </c>
      <c r="G20" s="20">
        <f>Assumptions!$B$17*Assumptions!$B$5</f>
        <v>213</v>
      </c>
      <c r="H20" s="20">
        <f>Assumptions!$B$17*Assumptions!$B$5</f>
        <v>213</v>
      </c>
      <c r="I20" s="20">
        <f t="shared" si="1"/>
        <v>1278</v>
      </c>
    </row>
    <row r="21" spans="1:9" ht="16.5" customHeight="1" x14ac:dyDescent="0.2">
      <c r="A21" s="19" t="s">
        <v>103</v>
      </c>
      <c r="B21" s="20" t="s">
        <v>235</v>
      </c>
      <c r="C21" s="20">
        <f>Assumptions!$B$43</f>
        <v>200</v>
      </c>
      <c r="D21" s="20">
        <f>Assumptions!$B$43</f>
        <v>200</v>
      </c>
      <c r="E21" s="20">
        <f>Assumptions!$B$43</f>
        <v>200</v>
      </c>
      <c r="F21" s="20">
        <f>Assumptions!$B$43</f>
        <v>200</v>
      </c>
      <c r="G21" s="20">
        <f>Assumptions!$B$43</f>
        <v>200</v>
      </c>
      <c r="H21" s="20">
        <f>Assumptions!$B$43</f>
        <v>200</v>
      </c>
      <c r="I21" s="20">
        <f t="shared" si="1"/>
        <v>1200</v>
      </c>
    </row>
    <row r="22" spans="1:9" ht="16.5" customHeight="1" x14ac:dyDescent="0.2">
      <c r="A22" s="19" t="s">
        <v>104</v>
      </c>
      <c r="B22" s="20" t="s">
        <v>235</v>
      </c>
      <c r="C22" s="20">
        <v>0</v>
      </c>
      <c r="D22" s="20">
        <v>0</v>
      </c>
      <c r="E22" s="20">
        <v>500</v>
      </c>
      <c r="F22" s="20">
        <v>0</v>
      </c>
      <c r="G22" s="20">
        <v>0</v>
      </c>
      <c r="H22" s="20">
        <v>500</v>
      </c>
      <c r="I22" s="20">
        <f t="shared" si="1"/>
        <v>1000</v>
      </c>
    </row>
    <row r="23" spans="1:9" ht="16.5" customHeight="1" x14ac:dyDescent="0.2">
      <c r="A23" s="23" t="s">
        <v>105</v>
      </c>
      <c r="B23" s="24">
        <f t="shared" ref="B23:H23" si="2">SUM(B12:B22)</f>
        <v>0</v>
      </c>
      <c r="C23" s="24">
        <f t="shared" si="2"/>
        <v>31393</v>
      </c>
      <c r="D23" s="24">
        <f t="shared" si="2"/>
        <v>31393</v>
      </c>
      <c r="E23" s="24">
        <f t="shared" si="2"/>
        <v>31893</v>
      </c>
      <c r="F23" s="24">
        <f t="shared" si="2"/>
        <v>31393</v>
      </c>
      <c r="G23" s="24">
        <f t="shared" si="2"/>
        <v>31393</v>
      </c>
      <c r="H23" s="24">
        <f t="shared" si="2"/>
        <v>31893</v>
      </c>
      <c r="I23" s="24">
        <f t="shared" si="1"/>
        <v>189358</v>
      </c>
    </row>
    <row r="24" spans="1:9" ht="4.5" customHeight="1" x14ac:dyDescent="0.2"/>
    <row r="25" spans="1:9" ht="19.5" customHeight="1" x14ac:dyDescent="0.2">
      <c r="A25" s="6" t="s">
        <v>106</v>
      </c>
      <c r="B25" s="6"/>
      <c r="C25" s="6"/>
      <c r="D25" s="6"/>
      <c r="E25" s="6"/>
      <c r="F25" s="6"/>
      <c r="G25" s="6"/>
      <c r="H25" s="6"/>
      <c r="I25" s="6"/>
    </row>
    <row r="26" spans="1:9" ht="16.5" customHeight="1" x14ac:dyDescent="0.2">
      <c r="A26" s="19" t="s">
        <v>107</v>
      </c>
      <c r="B26" s="20">
        <f>Assumptions!B23*2</f>
        <v>1000</v>
      </c>
      <c r="C26" s="20">
        <f>Assumptions!$B$23*2</f>
        <v>1000</v>
      </c>
      <c r="D26" s="20">
        <f>Assumptions!$B$23*2</f>
        <v>1000</v>
      </c>
      <c r="E26" s="20">
        <f>Assumptions!$B$23*Assumptions!$B$22</f>
        <v>1500</v>
      </c>
      <c r="F26" s="20">
        <f>Assumptions!$B$23*Assumptions!$B$22</f>
        <v>1500</v>
      </c>
      <c r="G26" s="20">
        <f>Assumptions!$B$23*5</f>
        <v>2500</v>
      </c>
      <c r="H26" s="20">
        <f>Assumptions!$B$23*5</f>
        <v>2500</v>
      </c>
      <c r="I26" s="20">
        <f>SUM(B26:H26)</f>
        <v>11000</v>
      </c>
    </row>
    <row r="27" spans="1:9" ht="16.5" customHeight="1" x14ac:dyDescent="0.2">
      <c r="A27" s="19" t="s">
        <v>108</v>
      </c>
      <c r="B27" s="20">
        <f>Assumptions!B24*2</f>
        <v>400</v>
      </c>
      <c r="C27" s="20">
        <f>Assumptions!$B$24*2</f>
        <v>400</v>
      </c>
      <c r="D27" s="20">
        <f>Assumptions!$B$24*2</f>
        <v>400</v>
      </c>
      <c r="E27" s="20">
        <f>Assumptions!$B$24*Assumptions!$B$22</f>
        <v>600</v>
      </c>
      <c r="F27" s="20">
        <f>Assumptions!$B$24*Assumptions!$B$22</f>
        <v>600</v>
      </c>
      <c r="G27" s="20">
        <f>Assumptions!$B$24*5</f>
        <v>1000</v>
      </c>
      <c r="H27" s="20">
        <f>Assumptions!$B$24*5</f>
        <v>1000</v>
      </c>
      <c r="I27" s="20">
        <f>SUM(B27:H27)</f>
        <v>4400</v>
      </c>
    </row>
    <row r="28" spans="1:9" ht="16.5" customHeight="1" x14ac:dyDescent="0.2">
      <c r="A28" s="19" t="s">
        <v>109</v>
      </c>
      <c r="B28" s="20">
        <f>Assumptions!B23*Assumptions!B20</f>
        <v>0</v>
      </c>
      <c r="C28" s="20">
        <f>Assumptions!B23*Assumptions!B20</f>
        <v>0</v>
      </c>
      <c r="D28" s="20">
        <f>Assumptions!B23*Assumptions!B20</f>
        <v>0</v>
      </c>
      <c r="E28" s="20">
        <f>Assumptions!B23*Assumptions!B20</f>
        <v>0</v>
      </c>
      <c r="F28" s="20">
        <f>Assumptions!B23*Assumptions!B20</f>
        <v>0</v>
      </c>
      <c r="G28" s="20">
        <f>Assumptions!B23*Assumptions!B20</f>
        <v>0</v>
      </c>
      <c r="H28" s="20">
        <f>Assumptions!B23*Assumptions!B20</f>
        <v>0</v>
      </c>
      <c r="I28" s="20">
        <f>SUM(B28:H28)</f>
        <v>0</v>
      </c>
    </row>
    <row r="29" spans="1:9" ht="16.5" customHeight="1" x14ac:dyDescent="0.2">
      <c r="A29" s="23" t="s">
        <v>110</v>
      </c>
      <c r="B29" s="24">
        <f t="shared" ref="B29:H29" si="3">SUM(B26:B28)</f>
        <v>1400</v>
      </c>
      <c r="C29" s="24">
        <f t="shared" si="3"/>
        <v>1400</v>
      </c>
      <c r="D29" s="24">
        <f t="shared" si="3"/>
        <v>1400</v>
      </c>
      <c r="E29" s="24">
        <f t="shared" si="3"/>
        <v>2100</v>
      </c>
      <c r="F29" s="24">
        <f t="shared" si="3"/>
        <v>2100</v>
      </c>
      <c r="G29" s="24">
        <f t="shared" si="3"/>
        <v>3500</v>
      </c>
      <c r="H29" s="24">
        <f t="shared" si="3"/>
        <v>3500</v>
      </c>
      <c r="I29" s="24">
        <f>SUM(B29:H29)</f>
        <v>15400</v>
      </c>
    </row>
    <row r="30" spans="1:9" ht="4.5" customHeight="1" x14ac:dyDescent="0.2"/>
    <row r="31" spans="1:9" ht="19.5" customHeight="1" x14ac:dyDescent="0.2">
      <c r="A31" s="6" t="s">
        <v>111</v>
      </c>
      <c r="B31" s="6"/>
      <c r="C31" s="6"/>
      <c r="D31" s="6"/>
      <c r="E31" s="6"/>
      <c r="F31" s="6"/>
      <c r="G31" s="6"/>
      <c r="H31" s="6"/>
      <c r="I31" s="6"/>
    </row>
    <row r="32" spans="1:9" ht="16.5" customHeight="1" x14ac:dyDescent="0.2">
      <c r="A32" s="19" t="s">
        <v>112</v>
      </c>
      <c r="B32" s="20">
        <f>Assumptions!$B$28</f>
        <v>5000</v>
      </c>
      <c r="C32" s="20">
        <f>Assumptions!$B$28</f>
        <v>5000</v>
      </c>
      <c r="D32" s="20">
        <f>Assumptions!$B$28</f>
        <v>5000</v>
      </c>
      <c r="E32" s="20">
        <f>Assumptions!$B$28</f>
        <v>5000</v>
      </c>
      <c r="F32" s="20">
        <f>Assumptions!$B$28</f>
        <v>5000</v>
      </c>
      <c r="G32" s="20">
        <f>Assumptions!$B$28</f>
        <v>5000</v>
      </c>
      <c r="H32" s="20">
        <f>Assumptions!$B$28</f>
        <v>5000</v>
      </c>
      <c r="I32" s="20">
        <f t="shared" ref="I32:I37" si="4">SUM(B32:H32)</f>
        <v>35000</v>
      </c>
    </row>
    <row r="33" spans="1:9" ht="16.5" customHeight="1" x14ac:dyDescent="0.2">
      <c r="A33" s="19" t="s">
        <v>113</v>
      </c>
      <c r="B33" s="20">
        <f>Assumptions!$B$29</f>
        <v>1000</v>
      </c>
      <c r="C33" s="20">
        <f>Assumptions!$B$29</f>
        <v>1000</v>
      </c>
      <c r="D33" s="20">
        <f>Assumptions!$B$29</f>
        <v>1000</v>
      </c>
      <c r="E33" s="20">
        <f>Assumptions!$B$29</f>
        <v>1000</v>
      </c>
      <c r="F33" s="20">
        <f>Assumptions!$B$29</f>
        <v>1000</v>
      </c>
      <c r="G33" s="20">
        <f>Assumptions!$B$29</f>
        <v>1000</v>
      </c>
      <c r="H33" s="20">
        <f>Assumptions!$B$29</f>
        <v>1000</v>
      </c>
      <c r="I33" s="20">
        <f t="shared" si="4"/>
        <v>7000</v>
      </c>
    </row>
    <row r="34" spans="1:9" ht="16.5" customHeight="1" x14ac:dyDescent="0.2">
      <c r="A34" s="19" t="s">
        <v>114</v>
      </c>
      <c r="B34" s="20">
        <f>Assumptions!$B$31*Assumptions!$B$30</f>
        <v>1000</v>
      </c>
      <c r="C34" s="20">
        <f>Assumptions!$B$31*Assumptions!$B$30</f>
        <v>1000</v>
      </c>
      <c r="D34" s="20">
        <f>Assumptions!$B$31*Assumptions!$B$30</f>
        <v>1000</v>
      </c>
      <c r="E34" s="20">
        <f>Assumptions!$B$31*Assumptions!$B$30</f>
        <v>1000</v>
      </c>
      <c r="F34" s="20">
        <f>Assumptions!$B$31*Assumptions!$B$30</f>
        <v>1000</v>
      </c>
      <c r="G34" s="20">
        <f>Assumptions!$B$31*Assumptions!$B$30</f>
        <v>1000</v>
      </c>
      <c r="H34" s="20">
        <f>Assumptions!$B$31*Assumptions!$B$30</f>
        <v>1000</v>
      </c>
      <c r="I34" s="20">
        <f t="shared" si="4"/>
        <v>7000</v>
      </c>
    </row>
    <row r="35" spans="1:9" ht="16.5" customHeight="1" x14ac:dyDescent="0.2">
      <c r="A35" s="19" t="s">
        <v>115</v>
      </c>
      <c r="B35" s="20">
        <f>Assumptions!B29</f>
        <v>1000</v>
      </c>
      <c r="C35" s="20">
        <f>Assumptions!B29</f>
        <v>1000</v>
      </c>
      <c r="D35" s="20">
        <f>Assumptions!B29</f>
        <v>1000</v>
      </c>
      <c r="E35" s="20">
        <f>Assumptions!B29</f>
        <v>1000</v>
      </c>
      <c r="F35" s="20">
        <f>Assumptions!B29</f>
        <v>1000</v>
      </c>
      <c r="G35" s="20">
        <f>Assumptions!B29</f>
        <v>1000</v>
      </c>
      <c r="H35" s="20">
        <f>Assumptions!B29</f>
        <v>1000</v>
      </c>
      <c r="I35" s="20">
        <f t="shared" si="4"/>
        <v>7000</v>
      </c>
    </row>
    <row r="36" spans="1:9" ht="16.5" customHeight="1" x14ac:dyDescent="0.2">
      <c r="A36" s="19" t="s">
        <v>116</v>
      </c>
      <c r="B36" s="20">
        <f>Assumptions!$B$33</f>
        <v>400</v>
      </c>
      <c r="C36" s="20">
        <f>Assumptions!$B$33</f>
        <v>400</v>
      </c>
      <c r="D36" s="20">
        <f>Assumptions!$B$33</f>
        <v>400</v>
      </c>
      <c r="E36" s="20">
        <f>Assumptions!$B$33</f>
        <v>400</v>
      </c>
      <c r="F36" s="20">
        <f>Assumptions!$B$33</f>
        <v>400</v>
      </c>
      <c r="G36" s="20">
        <f>Assumptions!$B$33</f>
        <v>400</v>
      </c>
      <c r="H36" s="20">
        <f>Assumptions!$B$33</f>
        <v>400</v>
      </c>
      <c r="I36" s="20">
        <f t="shared" si="4"/>
        <v>2800</v>
      </c>
    </row>
    <row r="37" spans="1:9" ht="16.5" customHeight="1" x14ac:dyDescent="0.2">
      <c r="A37" s="23" t="s">
        <v>117</v>
      </c>
      <c r="B37" s="24">
        <f t="shared" ref="B37:H37" si="5">SUM(B32:B36)</f>
        <v>8400</v>
      </c>
      <c r="C37" s="24">
        <f t="shared" si="5"/>
        <v>8400</v>
      </c>
      <c r="D37" s="24">
        <f t="shared" si="5"/>
        <v>8400</v>
      </c>
      <c r="E37" s="24">
        <f t="shared" si="5"/>
        <v>8400</v>
      </c>
      <c r="F37" s="24">
        <f t="shared" si="5"/>
        <v>8400</v>
      </c>
      <c r="G37" s="24">
        <f t="shared" si="5"/>
        <v>8400</v>
      </c>
      <c r="H37" s="24">
        <f t="shared" si="5"/>
        <v>8400</v>
      </c>
      <c r="I37" s="24">
        <f t="shared" si="4"/>
        <v>58800</v>
      </c>
    </row>
    <row r="38" spans="1:9" ht="4.5" customHeight="1" x14ac:dyDescent="0.2"/>
    <row r="39" spans="1:9" ht="19.5" customHeight="1" x14ac:dyDescent="0.2">
      <c r="A39" s="6" t="s">
        <v>118</v>
      </c>
      <c r="B39" s="6"/>
      <c r="C39" s="6"/>
      <c r="D39" s="6"/>
      <c r="E39" s="6"/>
      <c r="F39" s="6"/>
      <c r="G39" s="6"/>
      <c r="H39" s="6"/>
      <c r="I39" s="6"/>
    </row>
    <row r="40" spans="1:9" ht="16.5" customHeight="1" x14ac:dyDescent="0.2">
      <c r="A40" s="19" t="s">
        <v>119</v>
      </c>
      <c r="B40" s="20">
        <f>Assumptions!B36</f>
        <v>3500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f>SUM(B40:H40)</f>
        <v>3500</v>
      </c>
    </row>
    <row r="41" spans="1:9" ht="16.5" customHeight="1" x14ac:dyDescent="0.2">
      <c r="A41" s="19" t="s">
        <v>120</v>
      </c>
      <c r="B41" s="20">
        <f>Assumptions!$B$37</f>
        <v>200</v>
      </c>
      <c r="C41" s="20">
        <f>Assumptions!$B$37</f>
        <v>200</v>
      </c>
      <c r="D41" s="20">
        <f>Assumptions!$B$37</f>
        <v>200</v>
      </c>
      <c r="E41" s="20">
        <f>Assumptions!$B$37</f>
        <v>200</v>
      </c>
      <c r="F41" s="20">
        <f>Assumptions!$B$37</f>
        <v>200</v>
      </c>
      <c r="G41" s="20">
        <f>Assumptions!$B$37</f>
        <v>200</v>
      </c>
      <c r="H41" s="20">
        <f>Assumptions!$B$37</f>
        <v>200</v>
      </c>
      <c r="I41" s="20">
        <f>SUM(B41:H41)</f>
        <v>1400</v>
      </c>
    </row>
    <row r="42" spans="1:9" ht="16.5" customHeight="1" x14ac:dyDescent="0.2">
      <c r="A42" s="19" t="s">
        <v>121</v>
      </c>
      <c r="B42" s="20">
        <f>Assumptions!$B$38</f>
        <v>500</v>
      </c>
      <c r="C42" s="20">
        <f>Assumptions!$B$38</f>
        <v>500</v>
      </c>
      <c r="D42" s="20">
        <f>Assumptions!$B$38</f>
        <v>500</v>
      </c>
      <c r="E42" s="20">
        <f>Assumptions!$B$38</f>
        <v>500</v>
      </c>
      <c r="F42" s="20">
        <f>Assumptions!$B$38</f>
        <v>500</v>
      </c>
      <c r="G42" s="20">
        <f>Assumptions!$B$38</f>
        <v>500</v>
      </c>
      <c r="H42" s="20">
        <f>Assumptions!$B$38</f>
        <v>500</v>
      </c>
      <c r="I42" s="20">
        <f>SUM(B42:H42)</f>
        <v>3500</v>
      </c>
    </row>
    <row r="43" spans="1:9" ht="16.5" customHeight="1" x14ac:dyDescent="0.2">
      <c r="A43" s="19" t="s">
        <v>122</v>
      </c>
      <c r="B43" s="20">
        <f>Assumptions!$B$39</f>
        <v>300</v>
      </c>
      <c r="C43" s="20">
        <f>Assumptions!$B$39</f>
        <v>300</v>
      </c>
      <c r="D43" s="20">
        <f>Assumptions!$B$39</f>
        <v>300</v>
      </c>
      <c r="E43" s="20">
        <f>Assumptions!$B$39</f>
        <v>300</v>
      </c>
      <c r="F43" s="20">
        <f>Assumptions!$B$39</f>
        <v>300</v>
      </c>
      <c r="G43" s="20">
        <f>Assumptions!$B$39</f>
        <v>300</v>
      </c>
      <c r="H43" s="20">
        <f>Assumptions!$B$39</f>
        <v>300</v>
      </c>
      <c r="I43" s="20">
        <f>SUM(B43:H43)</f>
        <v>2100</v>
      </c>
    </row>
    <row r="44" spans="1:9" ht="16.5" customHeight="1" x14ac:dyDescent="0.2">
      <c r="A44" s="23" t="s">
        <v>123</v>
      </c>
      <c r="B44" s="24">
        <f t="shared" ref="B44:H44" si="6">SUM(B40:B43)</f>
        <v>4500</v>
      </c>
      <c r="C44" s="24">
        <f t="shared" si="6"/>
        <v>1000</v>
      </c>
      <c r="D44" s="24">
        <f t="shared" si="6"/>
        <v>1000</v>
      </c>
      <c r="E44" s="24">
        <f t="shared" si="6"/>
        <v>1000</v>
      </c>
      <c r="F44" s="24">
        <f t="shared" si="6"/>
        <v>1000</v>
      </c>
      <c r="G44" s="24">
        <f t="shared" si="6"/>
        <v>1000</v>
      </c>
      <c r="H44" s="24">
        <f t="shared" si="6"/>
        <v>1000</v>
      </c>
      <c r="I44" s="24">
        <f>SUM(B44:H44)</f>
        <v>10500</v>
      </c>
    </row>
    <row r="45" spans="1:9" ht="4.5" customHeight="1" x14ac:dyDescent="0.2"/>
    <row r="46" spans="1:9" ht="19.5" customHeight="1" x14ac:dyDescent="0.2">
      <c r="A46" s="6" t="s">
        <v>124</v>
      </c>
      <c r="B46" s="6"/>
      <c r="C46" s="6"/>
      <c r="D46" s="6"/>
      <c r="E46" s="6"/>
      <c r="F46" s="6"/>
      <c r="G46" s="6"/>
      <c r="H46" s="6"/>
      <c r="I46" s="6"/>
    </row>
    <row r="47" spans="1:9" ht="16.5" customHeight="1" x14ac:dyDescent="0.2">
      <c r="A47" s="21" t="s">
        <v>125</v>
      </c>
      <c r="B47" s="22">
        <f t="shared" ref="B47:H47" si="7">B23+B29+B37+B44</f>
        <v>14300</v>
      </c>
      <c r="C47" s="22">
        <f t="shared" si="7"/>
        <v>42193</v>
      </c>
      <c r="D47" s="22">
        <f t="shared" si="7"/>
        <v>42193</v>
      </c>
      <c r="E47" s="22">
        <f t="shared" si="7"/>
        <v>43393</v>
      </c>
      <c r="F47" s="22">
        <f t="shared" si="7"/>
        <v>42893</v>
      </c>
      <c r="G47" s="22">
        <f t="shared" si="7"/>
        <v>44293</v>
      </c>
      <c r="H47" s="22">
        <f t="shared" si="7"/>
        <v>44793</v>
      </c>
      <c r="I47" s="22">
        <f>SUM(B47:H47)</f>
        <v>274058</v>
      </c>
    </row>
    <row r="48" spans="1:9" ht="16.5" customHeight="1" x14ac:dyDescent="0.2">
      <c r="A48" s="25" t="s">
        <v>126</v>
      </c>
      <c r="B48" s="26">
        <f>B47*Assumptions!B40</f>
        <v>0</v>
      </c>
      <c r="C48" s="26">
        <f>C47*Assumptions!B40</f>
        <v>0</v>
      </c>
      <c r="D48" s="26">
        <f>D47*Assumptions!B40</f>
        <v>0</v>
      </c>
      <c r="E48" s="26">
        <f>E47*Assumptions!B40</f>
        <v>0</v>
      </c>
      <c r="F48" s="26">
        <f>F47*Assumptions!B40</f>
        <v>0</v>
      </c>
      <c r="G48" s="26">
        <f>G47*Assumptions!B40</f>
        <v>0</v>
      </c>
      <c r="H48" s="26">
        <f>H47*Assumptions!B40</f>
        <v>0</v>
      </c>
      <c r="I48" s="26">
        <f>SUM(B48:H48)</f>
        <v>0</v>
      </c>
    </row>
    <row r="49" spans="1:9" ht="16.5" customHeight="1" x14ac:dyDescent="0.2">
      <c r="A49" s="12" t="s">
        <v>127</v>
      </c>
      <c r="B49" s="27">
        <f t="shared" ref="B49:H49" si="8">B47+B48</f>
        <v>14300</v>
      </c>
      <c r="C49" s="27">
        <f t="shared" si="8"/>
        <v>42193</v>
      </c>
      <c r="D49" s="27">
        <f t="shared" si="8"/>
        <v>42193</v>
      </c>
      <c r="E49" s="27">
        <f t="shared" si="8"/>
        <v>43393</v>
      </c>
      <c r="F49" s="27">
        <f t="shared" si="8"/>
        <v>42893</v>
      </c>
      <c r="G49" s="27">
        <f t="shared" si="8"/>
        <v>44293</v>
      </c>
      <c r="H49" s="27">
        <f t="shared" si="8"/>
        <v>44793</v>
      </c>
      <c r="I49" s="27">
        <f>SUM(B49:H49)</f>
        <v>274058</v>
      </c>
    </row>
    <row r="50" spans="1:9" ht="4.5" customHeight="1" x14ac:dyDescent="0.2"/>
    <row r="51" spans="1:9" ht="16.5" customHeight="1" x14ac:dyDescent="0.2">
      <c r="A51" s="21" t="s">
        <v>128</v>
      </c>
      <c r="B51" s="22">
        <f t="shared" ref="B51:H51" si="9">B9-B49</f>
        <v>-14083</v>
      </c>
      <c r="C51" s="22">
        <f t="shared" si="9"/>
        <v>-41493</v>
      </c>
      <c r="D51" s="22">
        <f t="shared" si="9"/>
        <v>-40793</v>
      </c>
      <c r="E51" s="22">
        <f t="shared" si="9"/>
        <v>-37793</v>
      </c>
      <c r="F51" s="22">
        <f t="shared" si="9"/>
        <v>-32093</v>
      </c>
      <c r="G51" s="22">
        <f t="shared" si="9"/>
        <v>-18293</v>
      </c>
      <c r="H51" s="22">
        <f t="shared" si="9"/>
        <v>6207</v>
      </c>
      <c r="I51" s="22">
        <f>SUM(B51:H51)</f>
        <v>-178341</v>
      </c>
    </row>
    <row r="52" spans="1:9" ht="4.5" customHeight="1" x14ac:dyDescent="0.2"/>
    <row r="53" spans="1:9" ht="16.5" customHeight="1" x14ac:dyDescent="0.2">
      <c r="A53" s="28" t="s">
        <v>129</v>
      </c>
      <c r="B53" s="24">
        <f>B51</f>
        <v>-14083</v>
      </c>
      <c r="C53" s="24">
        <f t="shared" ref="C53:H53" si="10">B53+C51</f>
        <v>-55576</v>
      </c>
      <c r="D53" s="24">
        <f t="shared" si="10"/>
        <v>-96369</v>
      </c>
      <c r="E53" s="24">
        <f t="shared" si="10"/>
        <v>-134162</v>
      </c>
      <c r="F53" s="24">
        <f t="shared" si="10"/>
        <v>-166255</v>
      </c>
      <c r="G53" s="24">
        <f t="shared" si="10"/>
        <v>-184548</v>
      </c>
      <c r="H53" s="24">
        <f t="shared" si="10"/>
        <v>-178341</v>
      </c>
      <c r="I53" s="24">
        <f>H53</f>
        <v>-178341</v>
      </c>
    </row>
    <row r="54" spans="1:9" ht="4.5" customHeight="1" x14ac:dyDescent="0.2"/>
    <row r="55" spans="1:9" ht="21.75" customHeight="1" x14ac:dyDescent="0.2">
      <c r="A55" s="5" t="s">
        <v>130</v>
      </c>
      <c r="B55" s="5"/>
      <c r="C55" s="5"/>
      <c r="D55" s="5"/>
      <c r="E55" s="5"/>
      <c r="F55" s="5"/>
      <c r="G55" s="5"/>
      <c r="H55" s="5"/>
      <c r="I55" s="5"/>
    </row>
  </sheetData>
  <mergeCells count="8">
    <mergeCell ref="A39:I39"/>
    <mergeCell ref="A46:I46"/>
    <mergeCell ref="A55:I55"/>
    <mergeCell ref="A1:I1"/>
    <mergeCell ref="A5:I5"/>
    <mergeCell ref="A11:I11"/>
    <mergeCell ref="A25:I25"/>
    <mergeCell ref="A31:I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showGridLines="0" zoomScaleNormal="100" workbookViewId="0">
      <selection activeCell="A27" sqref="A27:C27"/>
    </sheetView>
  </sheetViews>
  <sheetFormatPr baseColWidth="10" defaultColWidth="8.6640625" defaultRowHeight="15" x14ac:dyDescent="0.2"/>
  <cols>
    <col min="1" max="1" width="40" customWidth="1"/>
    <col min="2" max="2" width="20" customWidth="1"/>
    <col min="3" max="3" width="36" customWidth="1"/>
  </cols>
  <sheetData>
    <row r="1" spans="1:3" ht="27.75" customHeight="1" x14ac:dyDescent="0.2">
      <c r="A1" s="4" t="s">
        <v>131</v>
      </c>
      <c r="B1" s="4"/>
      <c r="C1" s="4"/>
    </row>
    <row r="2" spans="1:3" ht="7.5" customHeight="1" x14ac:dyDescent="0.2"/>
    <row r="3" spans="1:3" ht="19.5" customHeight="1" x14ac:dyDescent="0.2">
      <c r="A3" s="3" t="s">
        <v>132</v>
      </c>
      <c r="B3" s="3"/>
      <c r="C3" s="3"/>
    </row>
    <row r="4" spans="1:3" ht="18" customHeight="1" x14ac:dyDescent="0.2">
      <c r="A4" s="29" t="s">
        <v>133</v>
      </c>
      <c r="B4" s="30">
        <f>'Monthly P&amp;L'!I9</f>
        <v>95717</v>
      </c>
      <c r="C4" s="11" t="s">
        <v>134</v>
      </c>
    </row>
    <row r="5" spans="1:3" ht="18" customHeight="1" x14ac:dyDescent="0.2">
      <c r="A5" s="29" t="s">
        <v>135</v>
      </c>
      <c r="B5" s="30">
        <f>'Monthly P&amp;L'!I47</f>
        <v>274058</v>
      </c>
      <c r="C5" s="11"/>
    </row>
    <row r="6" spans="1:3" ht="18" customHeight="1" x14ac:dyDescent="0.2">
      <c r="A6" s="29" t="s">
        <v>136</v>
      </c>
      <c r="B6" s="30">
        <f>'Monthly P&amp;L'!I48</f>
        <v>0</v>
      </c>
      <c r="C6" s="11"/>
    </row>
    <row r="7" spans="1:3" ht="18" customHeight="1" x14ac:dyDescent="0.2">
      <c r="A7" s="29" t="s">
        <v>137</v>
      </c>
      <c r="B7" s="30">
        <f>'Monthly P&amp;L'!I49</f>
        <v>274058</v>
      </c>
      <c r="C7" s="11"/>
    </row>
    <row r="8" spans="1:3" ht="18" customHeight="1" x14ac:dyDescent="0.2">
      <c r="A8" s="23" t="s">
        <v>138</v>
      </c>
      <c r="B8" s="24">
        <f>'Monthly P&amp;L'!I51</f>
        <v>-178341</v>
      </c>
      <c r="C8" s="11" t="s">
        <v>139</v>
      </c>
    </row>
    <row r="10" spans="1:3" ht="19.5" customHeight="1" x14ac:dyDescent="0.2">
      <c r="A10" s="3" t="s">
        <v>140</v>
      </c>
      <c r="B10" s="3"/>
      <c r="C10" s="3"/>
    </row>
    <row r="11" spans="1:3" ht="18" customHeight="1" x14ac:dyDescent="0.2">
      <c r="A11" s="19" t="s">
        <v>141</v>
      </c>
      <c r="B11" s="20">
        <f>ABS('Monthly P&amp;L'!I51)</f>
        <v>178341</v>
      </c>
      <c r="C11" s="11" t="s">
        <v>142</v>
      </c>
    </row>
    <row r="12" spans="1:3" ht="18" customHeight="1" x14ac:dyDescent="0.2">
      <c r="A12" s="19" t="s">
        <v>143</v>
      </c>
      <c r="B12" s="20">
        <f>ABS('Monthly P&amp;L'!I51)*0.25</f>
        <v>44585.25</v>
      </c>
      <c r="C12" s="11" t="s">
        <v>144</v>
      </c>
    </row>
    <row r="13" spans="1:3" ht="21.75" customHeight="1" x14ac:dyDescent="0.2">
      <c r="A13" s="31" t="s">
        <v>145</v>
      </c>
      <c r="B13" s="32">
        <f>ABS('Monthly P&amp;L'!I51)*1.25</f>
        <v>222926.25</v>
      </c>
      <c r="C13" s="33" t="s">
        <v>146</v>
      </c>
    </row>
    <row r="15" spans="1:3" ht="19.5" customHeight="1" x14ac:dyDescent="0.2">
      <c r="A15" s="3" t="s">
        <v>147</v>
      </c>
      <c r="B15" s="3"/>
      <c r="C15" s="3"/>
    </row>
    <row r="16" spans="1:3" ht="16.5" customHeight="1" x14ac:dyDescent="0.2">
      <c r="A16" s="13" t="s">
        <v>148</v>
      </c>
      <c r="B16" s="34" t="s">
        <v>149</v>
      </c>
      <c r="C16" s="11" t="s">
        <v>150</v>
      </c>
    </row>
    <row r="17" spans="1:3" ht="16.5" customHeight="1" x14ac:dyDescent="0.2">
      <c r="A17" s="13" t="s">
        <v>151</v>
      </c>
      <c r="B17" s="34" t="s">
        <v>152</v>
      </c>
      <c r="C17" s="11" t="s">
        <v>38</v>
      </c>
    </row>
    <row r="18" spans="1:3" ht="16.5" customHeight="1" x14ac:dyDescent="0.2">
      <c r="A18" s="13" t="s">
        <v>153</v>
      </c>
      <c r="B18" s="34" t="s">
        <v>154</v>
      </c>
      <c r="C18" s="11" t="s">
        <v>155</v>
      </c>
    </row>
    <row r="19" spans="1:3" ht="16.5" customHeight="1" x14ac:dyDescent="0.2">
      <c r="A19" s="13" t="s">
        <v>156</v>
      </c>
      <c r="B19" s="34" t="s">
        <v>157</v>
      </c>
      <c r="C19" s="11" t="s">
        <v>158</v>
      </c>
    </row>
    <row r="20" spans="1:3" ht="16.5" customHeight="1" x14ac:dyDescent="0.2">
      <c r="A20" s="13" t="s">
        <v>159</v>
      </c>
      <c r="B20" s="34" t="s">
        <v>160</v>
      </c>
      <c r="C20" s="11" t="s">
        <v>161</v>
      </c>
    </row>
    <row r="21" spans="1:3" ht="16.5" customHeight="1" x14ac:dyDescent="0.2">
      <c r="A21" s="13" t="s">
        <v>162</v>
      </c>
      <c r="B21" s="34" t="s">
        <v>163</v>
      </c>
      <c r="C21" s="11" t="s">
        <v>164</v>
      </c>
    </row>
    <row r="23" spans="1:3" ht="19.5" customHeight="1" x14ac:dyDescent="0.2">
      <c r="A23" s="3" t="s">
        <v>165</v>
      </c>
      <c r="B23" s="3"/>
      <c r="C23" s="3"/>
    </row>
    <row r="24" spans="1:3" ht="15.75" customHeight="1" x14ac:dyDescent="0.2">
      <c r="A24" s="2" t="s">
        <v>166</v>
      </c>
      <c r="B24" s="2"/>
      <c r="C24" s="2"/>
    </row>
    <row r="25" spans="1:3" ht="15.75" customHeight="1" x14ac:dyDescent="0.2">
      <c r="A25" s="2" t="s">
        <v>167</v>
      </c>
      <c r="B25" s="2"/>
      <c r="C25" s="2"/>
    </row>
    <row r="26" spans="1:3" ht="15.75" customHeight="1" x14ac:dyDescent="0.2">
      <c r="A26" s="2" t="s">
        <v>168</v>
      </c>
      <c r="B26" s="2"/>
      <c r="C26" s="2"/>
    </row>
    <row r="27" spans="1:3" ht="15.75" customHeight="1" x14ac:dyDescent="0.2">
      <c r="A27" s="2" t="s">
        <v>169</v>
      </c>
      <c r="B27" s="2"/>
      <c r="C27" s="2"/>
    </row>
    <row r="28" spans="1:3" ht="15.75" customHeight="1" x14ac:dyDescent="0.2">
      <c r="A28" s="2" t="s">
        <v>170</v>
      </c>
      <c r="B28" s="2"/>
      <c r="C28" s="2"/>
    </row>
    <row r="29" spans="1:3" ht="15.75" customHeight="1" x14ac:dyDescent="0.2">
      <c r="A29" s="2" t="s">
        <v>171</v>
      </c>
      <c r="B29" s="2"/>
      <c r="C29" s="2"/>
    </row>
    <row r="30" spans="1:3" ht="15.75" customHeight="1" x14ac:dyDescent="0.2">
      <c r="A30" s="2" t="s">
        <v>172</v>
      </c>
      <c r="B30" s="2"/>
      <c r="C30" s="2"/>
    </row>
    <row r="31" spans="1:3" ht="15.75" customHeight="1" x14ac:dyDescent="0.2">
      <c r="A31" s="2" t="s">
        <v>173</v>
      </c>
      <c r="B31" s="2"/>
      <c r="C31" s="2"/>
    </row>
    <row r="32" spans="1:3" ht="15.75" customHeight="1" x14ac:dyDescent="0.2">
      <c r="A32" s="2" t="s">
        <v>174</v>
      </c>
      <c r="B32" s="2"/>
      <c r="C32" s="2"/>
    </row>
  </sheetData>
  <mergeCells count="14">
    <mergeCell ref="A29:C29"/>
    <mergeCell ref="A30:C30"/>
    <mergeCell ref="A31:C31"/>
    <mergeCell ref="A32:C32"/>
    <mergeCell ref="A24:C24"/>
    <mergeCell ref="A25:C25"/>
    <mergeCell ref="A26:C26"/>
    <mergeCell ref="A27:C27"/>
    <mergeCell ref="A28:C28"/>
    <mergeCell ref="A1:C1"/>
    <mergeCell ref="A3:C3"/>
    <mergeCell ref="A10:C10"/>
    <mergeCell ref="A15:C15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showGridLines="0" tabSelected="1" zoomScaleNormal="100" workbookViewId="0">
      <selection activeCell="D24" sqref="D24"/>
    </sheetView>
  </sheetViews>
  <sheetFormatPr baseColWidth="10" defaultColWidth="8.6640625" defaultRowHeight="15" x14ac:dyDescent="0.2"/>
  <cols>
    <col min="1" max="1" width="4" customWidth="1"/>
    <col min="2" max="2" width="26" customWidth="1"/>
    <col min="3" max="3" width="22" customWidth="1"/>
    <col min="4" max="4" width="16" customWidth="1"/>
    <col min="5" max="5" width="14" customWidth="1"/>
    <col min="6" max="6" width="16" customWidth="1"/>
    <col min="7" max="7" width="14" customWidth="1"/>
    <col min="8" max="8" width="41" bestFit="1" customWidth="1"/>
  </cols>
  <sheetData>
    <row r="1" spans="1:8" ht="27.75" customHeight="1" x14ac:dyDescent="0.2">
      <c r="A1" s="4" t="s">
        <v>175</v>
      </c>
      <c r="B1" s="4"/>
      <c r="C1" s="4"/>
      <c r="D1" s="4"/>
      <c r="E1" s="4"/>
      <c r="F1" s="4"/>
      <c r="G1" s="4"/>
      <c r="H1" s="4"/>
    </row>
    <row r="2" spans="1:8" ht="7.5" customHeight="1" x14ac:dyDescent="0.2"/>
    <row r="3" spans="1:8" ht="19.5" customHeight="1" x14ac:dyDescent="0.2">
      <c r="A3" s="12" t="s">
        <v>176</v>
      </c>
      <c r="B3" s="18" t="s">
        <v>177</v>
      </c>
      <c r="C3" s="18" t="s">
        <v>178</v>
      </c>
      <c r="D3" s="18" t="s">
        <v>179</v>
      </c>
      <c r="E3" s="18" t="s">
        <v>180</v>
      </c>
      <c r="F3" s="18" t="s">
        <v>181</v>
      </c>
      <c r="G3" s="18" t="s">
        <v>182</v>
      </c>
      <c r="H3" s="18" t="s">
        <v>183</v>
      </c>
    </row>
    <row r="4" spans="1:8" ht="16.5" customHeight="1" x14ac:dyDescent="0.2">
      <c r="A4" s="35">
        <v>1</v>
      </c>
      <c r="B4" s="36" t="s">
        <v>184</v>
      </c>
      <c r="C4" s="36" t="s">
        <v>185</v>
      </c>
      <c r="D4" s="35" t="s">
        <v>186</v>
      </c>
      <c r="E4" s="35" t="s">
        <v>187</v>
      </c>
      <c r="F4" s="35" t="s">
        <v>188</v>
      </c>
      <c r="G4" s="35" t="s">
        <v>189</v>
      </c>
      <c r="H4" s="36" t="s">
        <v>190</v>
      </c>
    </row>
    <row r="5" spans="1:8" ht="16.5" customHeight="1" x14ac:dyDescent="0.2">
      <c r="A5" s="35">
        <v>2</v>
      </c>
      <c r="B5" s="36" t="s">
        <v>191</v>
      </c>
      <c r="C5" s="36" t="s">
        <v>192</v>
      </c>
      <c r="D5" s="35" t="s">
        <v>186</v>
      </c>
      <c r="E5" s="35" t="s">
        <v>187</v>
      </c>
      <c r="F5" s="35" t="s">
        <v>188</v>
      </c>
      <c r="G5" s="35" t="s">
        <v>193</v>
      </c>
      <c r="H5" s="36" t="s">
        <v>194</v>
      </c>
    </row>
    <row r="6" spans="1:8" ht="16.5" customHeight="1" x14ac:dyDescent="0.2">
      <c r="A6" s="35">
        <v>3</v>
      </c>
      <c r="B6" s="36" t="s">
        <v>236</v>
      </c>
      <c r="C6" s="36" t="s">
        <v>195</v>
      </c>
      <c r="D6" s="35" t="s">
        <v>186</v>
      </c>
      <c r="E6" s="35" t="s">
        <v>187</v>
      </c>
      <c r="F6" s="35" t="s">
        <v>188</v>
      </c>
      <c r="G6" s="35" t="s">
        <v>196</v>
      </c>
      <c r="H6" s="36" t="s">
        <v>197</v>
      </c>
    </row>
    <row r="7" spans="1:8" ht="16.5" customHeight="1" x14ac:dyDescent="0.2">
      <c r="A7" s="35">
        <v>4</v>
      </c>
      <c r="B7" s="36" t="s">
        <v>237</v>
      </c>
      <c r="C7" s="36" t="s">
        <v>198</v>
      </c>
      <c r="D7" s="35" t="s">
        <v>199</v>
      </c>
      <c r="E7" s="35" t="s">
        <v>200</v>
      </c>
      <c r="F7" s="35" t="s">
        <v>201</v>
      </c>
      <c r="G7" s="35" t="s">
        <v>202</v>
      </c>
      <c r="H7" s="36" t="s">
        <v>203</v>
      </c>
    </row>
    <row r="8" spans="1:8" ht="16.5" customHeight="1" x14ac:dyDescent="0.2">
      <c r="A8" s="35">
        <v>5</v>
      </c>
      <c r="B8" s="36" t="s">
        <v>238</v>
      </c>
      <c r="C8" s="36" t="s">
        <v>198</v>
      </c>
      <c r="D8" s="35" t="s">
        <v>199</v>
      </c>
      <c r="E8" s="35" t="s">
        <v>200</v>
      </c>
      <c r="F8" s="35" t="s">
        <v>201</v>
      </c>
      <c r="G8" s="35" t="s">
        <v>202</v>
      </c>
      <c r="H8" s="36" t="s">
        <v>203</v>
      </c>
    </row>
    <row r="9" spans="1:8" s="39" customFormat="1" ht="16.5" customHeight="1" x14ac:dyDescent="0.2">
      <c r="A9" s="37">
        <v>6</v>
      </c>
      <c r="B9" s="38" t="s">
        <v>204</v>
      </c>
      <c r="C9" s="38" t="s">
        <v>205</v>
      </c>
      <c r="D9" s="37" t="s">
        <v>186</v>
      </c>
      <c r="E9" s="37" t="s">
        <v>206</v>
      </c>
      <c r="F9" s="37" t="s">
        <v>207</v>
      </c>
      <c r="G9" s="37" t="s">
        <v>202</v>
      </c>
      <c r="H9" s="38" t="s">
        <v>208</v>
      </c>
    </row>
    <row r="10" spans="1:8" ht="16.5" customHeight="1" x14ac:dyDescent="0.2">
      <c r="A10" s="35">
        <v>7</v>
      </c>
      <c r="B10" s="36" t="s">
        <v>209</v>
      </c>
      <c r="C10" s="36" t="s">
        <v>210</v>
      </c>
      <c r="D10" s="35" t="s">
        <v>211</v>
      </c>
      <c r="E10" s="35" t="s">
        <v>202</v>
      </c>
      <c r="F10" s="35" t="s">
        <v>212</v>
      </c>
      <c r="G10" s="35" t="s">
        <v>202</v>
      </c>
      <c r="H10" s="36" t="s">
        <v>213</v>
      </c>
    </row>
    <row r="11" spans="1:8" ht="16.5" customHeight="1" x14ac:dyDescent="0.2">
      <c r="A11" s="35">
        <v>8</v>
      </c>
      <c r="B11" s="36" t="s">
        <v>214</v>
      </c>
      <c r="C11" s="36" t="s">
        <v>215</v>
      </c>
      <c r="D11" s="35" t="s">
        <v>216</v>
      </c>
      <c r="E11" s="35" t="s">
        <v>217</v>
      </c>
      <c r="F11" s="35" t="s">
        <v>218</v>
      </c>
      <c r="G11" s="35" t="s">
        <v>202</v>
      </c>
      <c r="H11" s="36" t="s">
        <v>219</v>
      </c>
    </row>
    <row r="12" spans="1:8" ht="16.5" customHeight="1" x14ac:dyDescent="0.2">
      <c r="A12" s="35"/>
      <c r="B12" s="36" t="s">
        <v>220</v>
      </c>
      <c r="C12" s="36" t="s">
        <v>221</v>
      </c>
      <c r="D12" s="35" t="s">
        <v>222</v>
      </c>
      <c r="E12" s="35" t="s">
        <v>202</v>
      </c>
      <c r="F12" s="35" t="s">
        <v>223</v>
      </c>
      <c r="G12" s="35" t="s">
        <v>202</v>
      </c>
      <c r="H12" s="36" t="s">
        <v>224</v>
      </c>
    </row>
    <row r="13" spans="1:8" ht="16.5" customHeight="1" x14ac:dyDescent="0.2">
      <c r="A13" s="35"/>
      <c r="B13" s="36" t="s">
        <v>225</v>
      </c>
      <c r="C13" s="36" t="s">
        <v>221</v>
      </c>
      <c r="D13" s="35" t="s">
        <v>222</v>
      </c>
      <c r="E13" s="35" t="s">
        <v>202</v>
      </c>
      <c r="F13" s="35" t="s">
        <v>223</v>
      </c>
      <c r="G13" s="35" t="s">
        <v>202</v>
      </c>
      <c r="H13" s="36"/>
    </row>
    <row r="14" spans="1:8" ht="16.5" customHeight="1" x14ac:dyDescent="0.2">
      <c r="A14" s="35"/>
      <c r="B14" s="36" t="s">
        <v>226</v>
      </c>
      <c r="C14" s="36" t="s">
        <v>221</v>
      </c>
      <c r="D14" s="35" t="s">
        <v>222</v>
      </c>
      <c r="E14" s="35" t="s">
        <v>202</v>
      </c>
      <c r="F14" s="35" t="s">
        <v>223</v>
      </c>
      <c r="G14" s="35" t="s">
        <v>202</v>
      </c>
      <c r="H14" s="36"/>
    </row>
    <row r="15" spans="1:8" ht="16.5" customHeight="1" x14ac:dyDescent="0.2">
      <c r="A15" s="35"/>
      <c r="B15" s="36" t="s">
        <v>227</v>
      </c>
      <c r="C15" s="36" t="s">
        <v>228</v>
      </c>
      <c r="D15" s="35" t="s">
        <v>222</v>
      </c>
      <c r="E15" s="35" t="s">
        <v>202</v>
      </c>
      <c r="F15" s="35" t="s">
        <v>229</v>
      </c>
      <c r="G15" s="35" t="s">
        <v>202</v>
      </c>
      <c r="H15" s="36" t="s">
        <v>230</v>
      </c>
    </row>
    <row r="16" spans="1:8" ht="16.5" customHeight="1" x14ac:dyDescent="0.2">
      <c r="A16" s="35">
        <v>9</v>
      </c>
      <c r="B16" s="36" t="s">
        <v>239</v>
      </c>
      <c r="C16" s="36" t="s">
        <v>231</v>
      </c>
      <c r="D16" s="35" t="s">
        <v>232</v>
      </c>
      <c r="E16" s="35" t="s">
        <v>202</v>
      </c>
      <c r="F16" s="35" t="s">
        <v>233</v>
      </c>
      <c r="G16" s="35" t="s">
        <v>202</v>
      </c>
      <c r="H16" s="36"/>
    </row>
    <row r="17" spans="1:8" ht="16.5" customHeight="1" x14ac:dyDescent="0.2">
      <c r="A17" s="35">
        <v>10</v>
      </c>
      <c r="B17" s="36" t="s">
        <v>240</v>
      </c>
      <c r="C17" s="36" t="s">
        <v>231</v>
      </c>
      <c r="D17" s="35" t="s">
        <v>232</v>
      </c>
      <c r="E17" s="35" t="s">
        <v>202</v>
      </c>
      <c r="F17" s="35" t="s">
        <v>233</v>
      </c>
      <c r="G17" s="35" t="s">
        <v>202</v>
      </c>
      <c r="H17" s="36"/>
    </row>
    <row r="18" spans="1:8" ht="16.5" customHeight="1" x14ac:dyDescent="0.2">
      <c r="A18" s="35">
        <v>11</v>
      </c>
      <c r="B18" s="36" t="s">
        <v>241</v>
      </c>
      <c r="C18" s="36" t="s">
        <v>231</v>
      </c>
      <c r="D18" s="35" t="s">
        <v>232</v>
      </c>
      <c r="E18" s="35" t="s">
        <v>202</v>
      </c>
      <c r="F18" s="35" t="s">
        <v>233</v>
      </c>
      <c r="G18" s="35" t="s">
        <v>202</v>
      </c>
      <c r="H18" s="36"/>
    </row>
    <row r="19" spans="1:8" ht="7.5" customHeight="1" x14ac:dyDescent="0.2"/>
    <row r="20" spans="1:8" x14ac:dyDescent="0.2">
      <c r="A20" s="1" t="s">
        <v>234</v>
      </c>
      <c r="B20" s="1"/>
      <c r="C20" s="1"/>
      <c r="D20" s="1"/>
      <c r="E20" s="1"/>
      <c r="F20" s="1"/>
      <c r="G20" s="1"/>
      <c r="H20" s="1"/>
    </row>
  </sheetData>
  <mergeCells count="2">
    <mergeCell ref="A1:H1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Monthly P&amp;L</vt:lpstr>
      <vt:lpstr>Bridge Summary</vt:lpstr>
      <vt:lpstr>Headcount &amp;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Anouk Horrevorts</cp:lastModifiedBy>
  <cp:revision>0</cp:revision>
  <dcterms:created xsi:type="dcterms:W3CDTF">2026-06-08T19:26:40Z</dcterms:created>
  <dcterms:modified xsi:type="dcterms:W3CDTF">2026-06-08T19:45:00Z</dcterms:modified>
  <dc:language>en-US</dc:language>
</cp:coreProperties>
</file>